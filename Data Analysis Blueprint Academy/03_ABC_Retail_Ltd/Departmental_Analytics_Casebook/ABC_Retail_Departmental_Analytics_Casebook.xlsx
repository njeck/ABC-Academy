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40a416fc6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d765cab66ba4c3f"/>
    <x:sheet xmlns:r="http://schemas.openxmlformats.org/officeDocument/2006/relationships" name="Business Cases" sheetId="2" r:id="Rdec8e45b49fe46fe"/>
    <x:sheet xmlns:r="http://schemas.openxmlformats.org/officeDocument/2006/relationships" name="Analytical Questions" sheetId="3" r:id="R04ed9f4513bf4b13"/>
    <x:sheet xmlns:r="http://schemas.openxmlformats.org/officeDocument/2006/relationships" name="KPI Catalog" sheetId="4" r:id="R0fc020047910474c"/>
    <x:sheet xmlns:r="http://schemas.openxmlformats.org/officeDocument/2006/relationships" name="Assignment Tracker" sheetId="5" r:id="Rd10097522d3d420d"/>
    <x:sheet xmlns:r="http://schemas.openxmlformats.org/officeDocument/2006/relationships" name="Evidence Log" sheetId="6" r:id="R8526574628a54a6a"/>
    <x:sheet xmlns:r="http://schemas.openxmlformats.org/officeDocument/2006/relationships" name="Dashboard" sheetId="7" r:id="R6f27f659ccf3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88ac5174f43a8" /><Relationship Type="http://schemas.openxmlformats.org/officeDocument/2006/relationships/theme" Target="/xl/theme/theme1.xml" Id="Rf1c11788582e459f" /><Relationship Type="http://schemas.openxmlformats.org/officeDocument/2006/relationships/sharedStrings" Target="/xl/sharedStrings.xml" Id="R85af7bf79b294faa" /><Relationship Type="http://schemas.openxmlformats.org/officeDocument/2006/relationships/worksheet" Target="/xl/worksheets/sheet1.xml" Id="Rfd765cab66ba4c3f" /><Relationship Type="http://schemas.openxmlformats.org/officeDocument/2006/relationships/worksheet" Target="/xl/worksheets/sheet2.xml" Id="Rdec8e45b49fe46fe" /><Relationship Type="http://schemas.openxmlformats.org/officeDocument/2006/relationships/worksheet" Target="/xl/worksheets/sheet3.xml" Id="R04ed9f4513bf4b13" /><Relationship Type="http://schemas.openxmlformats.org/officeDocument/2006/relationships/worksheet" Target="/xl/worksheets/sheet4.xml" Id="R0fc020047910474c" /><Relationship Type="http://schemas.openxmlformats.org/officeDocument/2006/relationships/worksheet" Target="/xl/worksheets/sheet5.xml" Id="Rd10097522d3d420d" /><Relationship Type="http://schemas.openxmlformats.org/officeDocument/2006/relationships/worksheet" Target="/xl/worksheets/sheet6.xml" Id="R8526574628a54a6a" /><Relationship Type="http://schemas.openxmlformats.org/officeDocument/2006/relationships/worksheet" Target="/xl/worksheets/sheet7.xml" Id="R6f27f659ccf344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020be61ca44f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Business Cases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'Dashboard'!$D$5:$D$17</c:f>
              <c:strCache>
                <c:ptCount val="0"/>
              </c:strCache>
            </c:strRef>
          </c:cat>
          <c:val>
            <c:numRef>
              <c:f>'Dashboard'!$E$5:$E$17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020be61ca44f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sinessCaseTable" displayName="BusinessCaseTable" ref="A4:N26" headerRowCount="1">
  <x:tableColumns count="14">
    <x:tableColumn id="1" name="Case ID"/>
    <x:tableColumn id="2" name="Department"/>
    <x:tableColumn id="3" name="Case Title"/>
    <x:tableColumn id="4" name="Business Scenario"/>
    <x:tableColumn id="5" name="Primary Stakeholder"/>
    <x:tableColumn id="6" name="Recommended Tool"/>
    <x:tableColumn id="7" name="Difficulty"/>
    <x:tableColumn id="8" name="Tables / Datasets"/>
    <x:tableColumn id="9" name="Primary KPI"/>
    <x:tableColumn id="10" name="Expected Deliverable"/>
    <x:tableColumn id="11" name="Duration (Hours)"/>
    <x:tableColumn id="12" name="Priority"/>
    <x:tableColumn id="13" name="Status"/>
    <x:tableColumn id="14" name="Instructor Notes"/>
  </x:tableColumns>
  <x:tableStyleInfo name="TableStyleMedium2" showRowStripes="1"/>
</x:table>
</file>

<file path=xl/tables/table2.xml><?xml version="1.0" encoding="utf-8"?>
<x:table xmlns:x="http://schemas.openxmlformats.org/spreadsheetml/2006/main" id="2" name="AnalyticsQuestionTable" displayName="AnalyticsQuestionTable" ref="A4:K70" headerRowCount="1">
  <x:tableColumns count="11">
    <x:tableColumn id="1" name="Question ID"/>
    <x:tableColumn id="2" name="Case ID"/>
    <x:tableColumn id="3" name="Department"/>
    <x:tableColumn id="4" name="Business Question"/>
    <x:tableColumn id="5" name="Question Type"/>
    <x:tableColumn id="6" name="Recommended Tool"/>
    <x:tableColumn id="7" name="Required Calculation / Technique"/>
    <x:tableColumn id="8" name="Expected Evidence"/>
    <x:tableColumn id="9" name="Difficulty"/>
    <x:tableColumn id="10" name="Marks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KPICatalogTable" displayName="KPICatalogTable" ref="A4:L26" headerRowCount="1">
  <x:tableColumns count="12">
    <x:tableColumn id="1" name="KPI ID"/>
    <x:tableColumn id="2" name="Department"/>
    <x:tableColumn id="3" name="KPI Name"/>
    <x:tableColumn id="4" name="Definition"/>
    <x:tableColumn id="5" name="Calculation"/>
    <x:tableColumn id="6" name="Direction"/>
    <x:tableColumn id="7" name="Frequency"/>
    <x:tableColumn id="8" name="Target"/>
    <x:tableColumn id="9" name="Unit"/>
    <x:tableColumn id="10" name="Source Tables"/>
    <x:tableColumn id="11" name="Owner"/>
    <x:tableColumn id="12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CaseAssignmentTable" displayName="CaseAssignmentTable" ref="A4:K44" headerRowCount="1">
  <x:tableColumns count="11">
    <x:tableColumn id="1" name="Assignment ID"/>
    <x:tableColumn id="2" name="Case ID"/>
    <x:tableColumn id="3" name="Student / Team"/>
    <x:tableColumn id="4" name="Instructor"/>
    <x:tableColumn id="5" name="Assigned Date"/>
    <x:tableColumn id="6" name="Due Date"/>
    <x:tableColumn id="7" name="Primary Tool"/>
    <x:tableColumn id="8" name="Status"/>
    <x:tableColumn id="9" name="Score"/>
    <x:tableColumn id="10" name="Classification"/>
    <x:tableColumn id="11" name="Submission Reference"/>
  </x:tableColumns>
  <x:tableStyleInfo name="TableStyleMedium2" showRowStripes="1"/>
</x:table>
</file>

<file path=xl/tables/table5.xml><?xml version="1.0" encoding="utf-8"?>
<x:table xmlns:x="http://schemas.openxmlformats.org/spreadsheetml/2006/main" id="5" name="EvidenceLogTable" displayName="EvidenceLogTable" ref="A4:J64" headerRowCount="1">
  <x:tableColumns count="10">
    <x:tableColumn id="1" name="Evidence ID"/>
    <x:tableColumn id="2" name="Assignment ID"/>
    <x:tableColumn id="3" name="Question ID"/>
    <x:tableColumn id="4" name="Evidence Type"/>
    <x:tableColumn id="5" name="File / Query / Measure"/>
    <x:tableColumn id="6" name="Result Summary"/>
    <x:tableColumn id="7" name="Validation Method"/>
    <x:tableColumn id="8" name="Validation Status"/>
    <x:tableColumn id="9" name="Reviewer"/>
    <x:tableColumn id="10" name="Review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fcb5807cb644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3292cd8fe549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20c4bbd73f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da2553db5844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b19d783fa443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e1b4b8606282426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 ht="30" customHeight="1">
      <x:c r="A1" s="5" t="str">
        <x:v>ABC Retail Ltd Departmental Analytics Casebook</x:v>
      </x:c>
    </x:row>
    <x:row r="4">
      <x:c r="A4" s="14" t="str">
        <x:v>Document Code</x:v>
      </x:c>
      <x:c r="B4" s="21" t="str">
        <x:v>DABA-ABC-CASE-001</x:v>
      </x:c>
    </x:row>
    <x:row r="5">
      <x:c r="A5" s="14" t="str">
        <x:v>Version</x:v>
      </x:c>
      <x:c r="B5" s="21" t="str">
        <x:v>1.0</x:v>
      </x:c>
    </x:row>
    <x:row r="6">
      <x:c r="A6" s="14" t="str">
        <x:v>Enterprise</x:v>
      </x:c>
      <x:c r="B6" s="21" t="str">
        <x:v>ABC Retail Ltd</x:v>
      </x:c>
    </x:row>
    <x:row r="7">
      <x:c r="A7" s="14" t="str">
        <x:v>Purpose</x:v>
      </x:c>
      <x:c r="B7" s="21" t="str">
        <x:v>Provide realistic departmental business cases for Excel, SQL, Power BI, AI, and capstone training.</x:v>
      </x:c>
    </x:row>
    <x:row r="8">
      <x:c r="A8" s="14" t="str">
        <x:v>Departments Covered</x:v>
      </x:c>
      <x:c r="B8" s="21" t="n">
        <x:v>11</x:v>
      </x:c>
    </x:row>
    <x:row r="9">
      <x:c r="A9" s="14" t="str">
        <x:v>Business Cases</x:v>
      </x:c>
      <x:c r="B9" s="21" t="n">
        <x:v>22</x:v>
      </x:c>
    </x:row>
    <x:row r="10">
      <x:c r="A10" s="14" t="str">
        <x:v>Analytical Questions</x:v>
      </x:c>
      <x:c r="B10" s="21" t="n">
        <x:v>66</x:v>
      </x:c>
    </x:row>
    <x:row r="11">
      <x:c r="A11" s="14" t="str">
        <x:v>Primary Tools</x:v>
      </x:c>
      <x:c r="B11" s="21" t="str">
        <x:v>Excel, SQL Server, Power BI, approved AI assistant</x:v>
      </x:c>
    </x:row>
    <x:row r="12">
      <x:c r="A12" s="14" t="str">
        <x:v>Recommended Level</x:v>
      </x:c>
      <x:c r="B12" s="21" t="str">
        <x:v>Beginner to Intermediate</x:v>
      </x:c>
    </x:row>
    <x:row r="13">
      <x:c r="A13" s="14" t="str">
        <x:v>Data Classification</x:v>
      </x:c>
      <x:c r="B13" s="21" t="str">
        <x:v>Synthetic educational data</x:v>
      </x:c>
    </x:row>
    <x:row r="14">
      <x:c r="A14" s="14" t="str">
        <x:v>Founder</x:v>
      </x:c>
      <x:c r="B14" s="21" t="str">
        <x:v>Mbah Dousbel Angum</x:v>
      </x:c>
    </x:row>
    <x:row r="15">
      <x:c r="A15" s="14" t="str">
        <x:v>Core Principle</x:v>
      </x:c>
      <x:c r="B15" s="21" t="str">
        <x:v>Every finding must be traceable to approved data and a documented calculation.</x:v>
      </x:c>
    </x:row>
    <x:row r="17">
      <x:c r="A17" s="14" t="str">
        <x:v>Recommended Use</x:v>
      </x:c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9">
      <x:c r="A19" s="14" t="str">
        <x:v>1</x:v>
      </x:c>
      <x:c r="B19" s="25" t="str">
        <x:v>Assign one departmental case to an individual or team.</x:v>
      </x:c>
    </x:row>
    <x:row r="20">
      <x:c r="A20" s="14" t="str">
        <x:v>2</x:v>
      </x:c>
      <x:c r="B20" s="25" t="str">
        <x:v>Review the scenario, stakeholders, KPIs, and available tables.</x:v>
      </x:c>
    </x:row>
    <x:row r="21">
      <x:c r="A21" s="14" t="str">
        <x:v>3</x:v>
      </x:c>
      <x:c r="B21" s="25" t="str">
        <x:v>Answer the analytical questions using the required tool.</x:v>
      </x:c>
    </x:row>
    <x:row r="22">
      <x:c r="A22" s="14" t="str">
        <x:v>4</x:v>
      </x:c>
      <x:c r="B22" s="25" t="str">
        <x:v>Record assumptions, calculations, queries, and validation checks.</x:v>
      </x:c>
    </x:row>
    <x:row r="23">
      <x:c r="A23" s="14" t="str">
        <x:v>5</x:v>
      </x:c>
      <x:c r="B23" s="25" t="str">
        <x:v>Prepare findings and recommendations.</x:v>
      </x:c>
    </x:row>
    <x:row r="24">
      <x:c r="A24" s="14" t="str">
        <x:v>6</x:v>
      </x:c>
      <x:c r="B24" s="25" t="str">
        <x:v>Present the result to a simulated department manager.</x:v>
      </x:c>
    </x:row>
    <x:row r="25">
      <x:c r="A25" s="14" t="str">
        <x:v>7</x:v>
      </x:c>
      <x:c r="B25" s="25" t="str">
        <x:v>Use the evidence and marking sheets for assessment.</x:v>
      </x:c>
    </x:row>
  </x:sheetData>
  <x:mergeCells>
    <x:mergeCell ref="A1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46" hidden="0" customWidth="1"/>
    <x:col min="5" max="5" width="24" hidden="0" customWidth="1"/>
    <x:col min="6" max="6" width="22" hidden="0" customWidth="1"/>
    <x:col min="7" max="7" width="14" hidden="0" customWidth="1"/>
    <x:col min="8" max="8" width="40" hidden="0" customWidth="1"/>
    <x:col min="9" max="9" width="24" hidden="0" customWidth="1"/>
    <x:col min="10" max="10" width="34" hidden="0" customWidth="1"/>
    <x:col min="11" max="11" width="14" hidden="0" customWidth="1"/>
    <x:col min="12" max="12" width="12" hidden="0" customWidth="1"/>
    <x:col min="13" max="13" width="16" hidden="0" customWidth="1"/>
    <x:col min="14" max="14" width="34" hidden="0" customWidth="1"/>
  </x:cols>
  <x:sheetData>
    <x:row r="1" ht="30" customHeight="1">
      <x:c r="A1" s="5" t="str">
        <x:v>Departmental Business Case Register</x:v>
      </x:c>
    </x:row>
    <x:row r="4">
      <x:c r="A4" s="14" t="str">
        <x:v>Case ID</x:v>
      </x:c>
      <x:c r="B4" s="14" t="str">
        <x:v>Department</x:v>
      </x:c>
      <x:c r="C4" s="14" t="str">
        <x:v>Case Title</x:v>
      </x:c>
      <x:c r="D4" s="14" t="str">
        <x:v>Business Scenario</x:v>
      </x:c>
      <x:c r="E4" s="14" t="str">
        <x:v>Primary Stakeholder</x:v>
      </x:c>
      <x:c r="F4" s="14" t="str">
        <x:v>Recommended Tool</x:v>
      </x:c>
      <x:c r="G4" s="14" t="str">
        <x:v>Difficulty</x:v>
      </x:c>
      <x:c r="H4" s="14" t="str">
        <x:v>Tables / Datasets</x:v>
      </x:c>
      <x:c r="I4" s="14" t="str">
        <x:v>Primary KPI</x:v>
      </x:c>
      <x:c r="J4" s="14" t="str">
        <x:v>Expected Deliverable</x:v>
      </x:c>
      <x:c r="K4" s="14" t="str">
        <x:v>Duration (Hours)</x:v>
      </x:c>
      <x:c r="L4" s="14" t="str">
        <x:v>Priority</x:v>
      </x:c>
      <x:c r="M4" s="14" t="str">
        <x:v>Status</x:v>
      </x:c>
      <x:c r="N4" s="14" t="str">
        <x:v>Instructor Notes</x:v>
      </x:c>
    </x:row>
    <x:row r="5">
      <x:c r="A5" t="str">
        <x:v>CASE-001</x:v>
      </x:c>
      <x:c r="B5" t="str">
        <x:v>Executive Management</x:v>
      </x:c>
      <x:c r="C5" s="28" t="str">
        <x:v>Branch Performance Review</x:v>
      </x:c>
      <x:c r="D5" s="28" t="str">
        <x:v>Management needs a consolidated view of revenue, profit, customers, inventory, and budget performance across branches.</x:v>
      </x:c>
      <x:c r="E5" s="28" t="str">
        <x:v>Chief Executive Officer</x:v>
      </x:c>
      <x:c r="F5" s="28" t="str">
        <x:v>Power BI</x:v>
      </x:c>
      <x:c r="G5" s="28" t="str">
        <x:v>Intermediate</x:v>
      </x:c>
      <x:c r="H5" s="28" t="str">
        <x:v>SalesOrders, SalesItems, Branches, Customers, Inventory, Budgets, Expenses</x:v>
      </x:c>
      <x:c r="I5" s="28" t="str">
        <x:v>Completed Sales</x:v>
      </x:c>
      <x:c r="J5" s="28" t="str">
        <x:v>Executive dashboard and management memo</x:v>
      </x:c>
      <x:c r="K5" t="n">
        <x:v>8</x:v>
      </x:c>
      <x:c r="L5" t="str">
        <x:v>High</x:v>
      </x:c>
      <x:c r="M5" t="str">
        <x:v>Ready</x:v>
      </x:c>
      <x:c r="N5" s="28" t="str"/>
    </x:row>
    <x:row r="6">
      <x:c r="A6" t="str">
        <x:v>CASE-002</x:v>
      </x:c>
      <x:c r="B6" t="str">
        <x:v>Executive Management</x:v>
      </x:c>
      <x:c r="C6" s="28" t="str">
        <x:v>Quarterly Management Pack</x:v>
      </x:c>
      <x:c r="D6" s="28" t="str">
        <x:v>Leadership requires a quarterly performance pack with trends, risks, and recommended actions.</x:v>
      </x:c>
      <x:c r="E6" s="28" t="str">
        <x:v>Executive Committee</x:v>
      </x:c>
      <x:c r="F6" s="28" t="str">
        <x:v>Excel / Power BI / AI</x:v>
      </x:c>
      <x:c r="G6" s="28" t="str">
        <x:v>Intermediate</x:v>
      </x:c>
      <x:c r="H6" s="28" t="str">
        <x:v>KPIResults, SalesOrders, Expenses, Budgets, Complaints</x:v>
      </x:c>
      <x:c r="I6" s="28" t="str">
        <x:v>Revenue Growth</x:v>
      </x:c>
      <x:c r="J6" s="28" t="str">
        <x:v>Quarterly management report</x:v>
      </x:c>
      <x:c r="K6" t="n">
        <x:v>8</x:v>
      </x:c>
      <x:c r="L6" t="str">
        <x:v>High</x:v>
      </x:c>
      <x:c r="M6" t="str">
        <x:v>Ready</x:v>
      </x:c>
      <x:c r="N6" s="28" t="str"/>
    </x:row>
    <x:row r="7">
      <x:c r="A7" t="str">
        <x:v>CASE-003</x:v>
      </x:c>
      <x:c r="B7" t="str">
        <x:v>Sales</x:v>
      </x:c>
      <x:c r="C7" s="28" t="str">
        <x:v>Branch Sales Decline</x:v>
      </x:c>
      <x:c r="D7" s="28" t="str">
        <x:v>Two branches have declining sales and management wants the main drivers identified.</x:v>
      </x:c>
      <x:c r="E7" s="28" t="str">
        <x:v>Sales Manager</x:v>
      </x:c>
      <x:c r="F7" s="28" t="str">
        <x:v>SQL / Power BI</x:v>
      </x:c>
      <x:c r="G7" s="28" t="str">
        <x:v>Intermediate</x:v>
      </x:c>
      <x:c r="H7" s="28" t="str">
        <x:v>SalesOrders, SalesItems, Products, Branches, Customers</x:v>
      </x:c>
      <x:c r="I7" s="28" t="str">
        <x:v>Revenue Variance</x:v>
      </x:c>
      <x:c r="J7" s="28" t="str">
        <x:v>Diagnostic sales report</x:v>
      </x:c>
      <x:c r="K7" t="n">
        <x:v>6</x:v>
      </x:c>
      <x:c r="L7" t="str">
        <x:v>High</x:v>
      </x:c>
      <x:c r="M7" t="str">
        <x:v>Ready</x:v>
      </x:c>
      <x:c r="N7" s="28" t="str"/>
    </x:row>
    <x:row r="8">
      <x:c r="A8" t="str">
        <x:v>CASE-004</x:v>
      </x:c>
      <x:c r="B8" t="str">
        <x:v>Sales</x:v>
      </x:c>
      <x:c r="C8" s="28" t="str">
        <x:v>Sales Representative Performance</x:v>
      </x:c>
      <x:c r="D8" s="28" t="str">
        <x:v>Sales leadership wants to compare employees against targets and identify coaching needs.</x:v>
      </x:c>
      <x:c r="E8" s="28" t="str">
        <x:v>Sales Manager</x:v>
      </x:c>
      <x:c r="F8" s="28" t="str">
        <x:v>SQL / Power BI</x:v>
      </x:c>
      <x:c r="G8" s="28" t="str">
        <x:v>Beginner</x:v>
      </x:c>
      <x:c r="H8" s="28" t="str">
        <x:v>SalesOrders, SalesTargets, Employees, Branches</x:v>
      </x:c>
      <x:c r="I8" s="28" t="str">
        <x:v>Target Achievement %</x:v>
      </x:c>
      <x:c r="J8" s="28" t="str">
        <x:v>Salesperson performance table</x:v>
      </x:c>
      <x:c r="K8" t="n">
        <x:v>5</x:v>
      </x:c>
      <x:c r="L8" t="str">
        <x:v>Medium</x:v>
      </x:c>
      <x:c r="M8" t="str">
        <x:v>Ready</x:v>
      </x:c>
      <x:c r="N8" s="28" t="str"/>
    </x:row>
    <x:row r="9">
      <x:c r="A9" t="str">
        <x:v>CASE-005</x:v>
      </x:c>
      <x:c r="B9" t="str">
        <x:v>Finance</x:v>
      </x:c>
      <x:c r="C9" s="28" t="str">
        <x:v>Budget Overspending</x:v>
      </x:c>
      <x:c r="D9" s="28" t="str">
        <x:v>Several departments may be exceeding approved budgets.</x:v>
      </x:c>
      <x:c r="E9" s="28" t="str">
        <x:v>Chief Finance Officer</x:v>
      </x:c>
      <x:c r="F9" s="28" t="str">
        <x:v>Excel / SQL / Power BI</x:v>
      </x:c>
      <x:c r="G9" s="28" t="str">
        <x:v>Intermediate</x:v>
      </x:c>
      <x:c r="H9" s="28" t="str">
        <x:v>Budgets, Expenses, Departments, Branches</x:v>
      </x:c>
      <x:c r="I9" s="28" t="str">
        <x:v>Budget Variance</x:v>
      </x:c>
      <x:c r="J9" s="28" t="str">
        <x:v>Budget control dashboard</x:v>
      </x:c>
      <x:c r="K9" t="n">
        <x:v>6</x:v>
      </x:c>
      <x:c r="L9" t="str">
        <x:v>High</x:v>
      </x:c>
      <x:c r="M9" t="str">
        <x:v>Ready</x:v>
      </x:c>
      <x:c r="N9" s="28" t="str"/>
    </x:row>
    <x:row r="10">
      <x:c r="A10" t="str">
        <x:v>CASE-006</x:v>
      </x:c>
      <x:c r="B10" t="str">
        <x:v>Finance</x:v>
      </x:c>
      <x:c r="C10" s="28" t="str">
        <x:v>Customer Receivables Risk</x:v>
      </x:c>
      <x:c r="D10" s="28" t="str">
        <x:v>Finance wants to identify customers with unpaid or partially paid orders.</x:v>
      </x:c>
      <x:c r="E10" s="28" t="str">
        <x:v>Finance Manager</x:v>
      </x:c>
      <x:c r="F10" s="28" t="str">
        <x:v>SQL</x:v>
      </x:c>
      <x:c r="G10" s="28" t="str">
        <x:v>Intermediate</x:v>
      </x:c>
      <x:c r="H10" s="28" t="str">
        <x:v>SalesOrders, CustomerPayments, Customers</x:v>
      </x:c>
      <x:c r="I10" s="28" t="str">
        <x:v>Outstanding Amount</x:v>
      </x:c>
      <x:c r="J10" s="28" t="str">
        <x:v>Receivables aging report</x:v>
      </x:c>
      <x:c r="K10" t="n">
        <x:v>5</x:v>
      </x:c>
      <x:c r="L10" t="str">
        <x:v>High</x:v>
      </x:c>
      <x:c r="M10" t="str">
        <x:v>Ready</x:v>
      </x:c>
      <x:c r="N10" s="28" t="str"/>
    </x:row>
    <x:row r="11">
      <x:c r="A11" t="str">
        <x:v>CASE-007</x:v>
      </x:c>
      <x:c r="B11" t="str">
        <x:v>Human Resources</x:v>
      </x:c>
      <x:c r="C11" s="28" t="str">
        <x:v>Employee Attendance Risk</x:v>
      </x:c>
      <x:c r="D11" s="28" t="str">
        <x:v>HR wants to identify absenteeism, lateness, and overtime patterns.</x:v>
      </x:c>
      <x:c r="E11" s="28" t="str">
        <x:v>HR Manager</x:v>
      </x:c>
      <x:c r="F11" s="28" t="str">
        <x:v>Excel / SQL / Power BI</x:v>
      </x:c>
      <x:c r="G11" s="28" t="str">
        <x:v>Beginner</x:v>
      </x:c>
      <x:c r="H11" s="28" t="str">
        <x:v>Employees, EmployeeAttendance, Departments, Branches</x:v>
      </x:c>
      <x:c r="I11" s="28" t="str">
        <x:v>Attendance Rate</x:v>
      </x:c>
      <x:c r="J11" s="28" t="str">
        <x:v>Attendance analysis and action list</x:v>
      </x:c>
      <x:c r="K11" t="n">
        <x:v>5</x:v>
      </x:c>
      <x:c r="L11" t="str">
        <x:v>Medium</x:v>
      </x:c>
      <x:c r="M11" t="str">
        <x:v>Ready</x:v>
      </x:c>
      <x:c r="N11" s="28" t="str"/>
    </x:row>
    <x:row r="12">
      <x:c r="A12" t="str">
        <x:v>CASE-008</x:v>
      </x:c>
      <x:c r="B12" t="str">
        <x:v>Human Resources</x:v>
      </x:c>
      <x:c r="C12" s="28" t="str">
        <x:v>Payroll Cost Review</x:v>
      </x:c>
      <x:c r="D12" s="28" t="str">
        <x:v>Management wants to understand salary distribution and payroll trends.</x:v>
      </x:c>
      <x:c r="E12" s="28" t="str">
        <x:v>HR Manager / CFO</x:v>
      </x:c>
      <x:c r="F12" s="28" t="str">
        <x:v>Excel / Power BI</x:v>
      </x:c>
      <x:c r="G12" s="28" t="str">
        <x:v>Beginner</x:v>
      </x:c>
      <x:c r="H12" s="28" t="str">
        <x:v>Employees, Payroll, Departments, Branches</x:v>
      </x:c>
      <x:c r="I12" s="28" t="str">
        <x:v>Total Payroll</x:v>
      </x:c>
      <x:c r="J12" s="28" t="str">
        <x:v>Payroll cost report</x:v>
      </x:c>
      <x:c r="K12" t="n">
        <x:v>4</x:v>
      </x:c>
      <x:c r="L12" t="str">
        <x:v>Medium</x:v>
      </x:c>
      <x:c r="M12" t="str">
        <x:v>Ready</x:v>
      </x:c>
      <x:c r="N12" s="28" t="str"/>
    </x:row>
    <x:row r="13">
      <x:c r="A13" t="str">
        <x:v>CASE-009</x:v>
      </x:c>
      <x:c r="B13" t="str">
        <x:v>Inventory</x:v>
      </x:c>
      <x:c r="C13" s="28" t="str">
        <x:v>Stockout Prevention</x:v>
      </x:c>
      <x:c r="D13" s="28" t="str">
        <x:v>Branches are experiencing stock shortages and delayed replenishment.</x:v>
      </x:c>
      <x:c r="E13" s="28" t="str">
        <x:v>Inventory Manager</x:v>
      </x:c>
      <x:c r="F13" s="28" t="str">
        <x:v>Excel / SQL / Power BI</x:v>
      </x:c>
      <x:c r="G13" s="28" t="str">
        <x:v>Intermediate</x:v>
      </x:c>
      <x:c r="H13" s="28" t="str">
        <x:v>InventoryBalance, InventoryTransactions, Products, Warehouses, Branches</x:v>
      </x:c>
      <x:c r="I13" s="28" t="str">
        <x:v>Products Below Reorder Level</x:v>
      </x:c>
      <x:c r="J13" s="28" t="str">
        <x:v>Reorder and stock-risk report</x:v>
      </x:c>
      <x:c r="K13" t="n">
        <x:v>6</x:v>
      </x:c>
      <x:c r="L13" t="str">
        <x:v>High</x:v>
      </x:c>
      <x:c r="M13" t="str">
        <x:v>Ready</x:v>
      </x:c>
      <x:c r="N13" s="28" t="str"/>
    </x:row>
    <x:row r="14">
      <x:c r="A14" t="str">
        <x:v>CASE-010</x:v>
      </x:c>
      <x:c r="B14" t="str">
        <x:v>Inventory</x:v>
      </x:c>
      <x:c r="C14" s="28" t="str">
        <x:v>Stock Variance Investigation</x:v>
      </x:c>
      <x:c r="D14" s="28" t="str">
        <x:v>Physical stock counts do not match system quantities.</x:v>
      </x:c>
      <x:c r="E14" s="28" t="str">
        <x:v>Inventory Manager / Internal Audit</x:v>
      </x:c>
      <x:c r="F14" s="28" t="str">
        <x:v>Excel / SQL</x:v>
      </x:c>
      <x:c r="G14" s="28" t="str">
        <x:v>Intermediate</x:v>
      </x:c>
      <x:c r="H14" s="28" t="str">
        <x:v>StockCounts, StockCountItems, InventoryBalance, Products</x:v>
      </x:c>
      <x:c r="I14" s="28" t="str">
        <x:v>Stock Variance Value</x:v>
      </x:c>
      <x:c r="J14" s="28" t="str">
        <x:v>Variance investigation report</x:v>
      </x:c>
      <x:c r="K14" t="n">
        <x:v>6</x:v>
      </x:c>
      <x:c r="L14" t="str">
        <x:v>High</x:v>
      </x:c>
      <x:c r="M14" t="str">
        <x:v>Ready</x:v>
      </x:c>
      <x:c r="N14" s="28" t="str"/>
    </x:row>
    <x:row r="15">
      <x:c r="A15" t="str">
        <x:v>CASE-011</x:v>
      </x:c>
      <x:c r="B15" t="str">
        <x:v>Procurement</x:v>
      </x:c>
      <x:c r="C15" s="28" t="str">
        <x:v>Supplier Performance Review</x:v>
      </x:c>
      <x:c r="D15" s="28" t="str">
        <x:v>Procurement needs to identify reliable and high-risk suppliers.</x:v>
      </x:c>
      <x:c r="E15" s="28" t="str">
        <x:v>Procurement Manager</x:v>
      </x:c>
      <x:c r="F15" s="28" t="str">
        <x:v>Excel / SQL / Power BI</x:v>
      </x:c>
      <x:c r="G15" s="28" t="str">
        <x:v>Intermediate</x:v>
      </x:c>
      <x:c r="H15" s="28" t="str">
        <x:v>Suppliers, PurchaseOrders, PurchaseOrderItems, SupplierPerformance</x:v>
      </x:c>
      <x:c r="I15" s="28" t="str">
        <x:v>On-Time Delivery %</x:v>
      </x:c>
      <x:c r="J15" s="28" t="str">
        <x:v>Supplier scorecard</x:v>
      </x:c>
      <x:c r="K15" t="n">
        <x:v>6</x:v>
      </x:c>
      <x:c r="L15" t="str">
        <x:v>High</x:v>
      </x:c>
      <x:c r="M15" t="str">
        <x:v>Ready</x:v>
      </x:c>
      <x:c r="N15" s="28" t="str"/>
    </x:row>
    <x:row r="16">
      <x:c r="A16" t="str">
        <x:v>CASE-012</x:v>
      </x:c>
      <x:c r="B16" t="str">
        <x:v>Procurement</x:v>
      </x:c>
      <x:c r="C16" s="28" t="str">
        <x:v>Purchase Cost Analysis</x:v>
      </x:c>
      <x:c r="D16" s="28" t="str">
        <x:v>Management wants to understand purchase price changes and spending by supplier.</x:v>
      </x:c>
      <x:c r="E16" s="28" t="str">
        <x:v>Procurement Manager / CFO</x:v>
      </x:c>
      <x:c r="F16" s="28" t="str">
        <x:v>SQL / Power BI</x:v>
      </x:c>
      <x:c r="G16" s="28" t="str">
        <x:v>Intermediate</x:v>
      </x:c>
      <x:c r="H16" s="28" t="str">
        <x:v>PurchaseOrders, PurchaseOrderItems, Suppliers, Products</x:v>
      </x:c>
      <x:c r="I16" s="28" t="str">
        <x:v>Purchase Spend</x:v>
      </x:c>
      <x:c r="J16" s="28" t="str">
        <x:v>Purchase cost analysis</x:v>
      </x:c>
      <x:c r="K16" t="n">
        <x:v>5</x:v>
      </x:c>
      <x:c r="L16" t="str">
        <x:v>Medium</x:v>
      </x:c>
      <x:c r="M16" t="str">
        <x:v>Ready</x:v>
      </x:c>
      <x:c r="N16" s="28" t="str"/>
    </x:row>
    <x:row r="17">
      <x:c r="A17" t="str">
        <x:v>CASE-013</x:v>
      </x:c>
      <x:c r="B17" t="str">
        <x:v>Logistics</x:v>
      </x:c>
      <x:c r="C17" s="28" t="str">
        <x:v>Delivery Delay Analysis</x:v>
      </x:c>
      <x:c r="D17" s="28" t="str">
        <x:v>Customers are reporting late deliveries in selected regions.</x:v>
      </x:c>
      <x:c r="E17" s="28" t="str">
        <x:v>Logistics Manager</x:v>
      </x:c>
      <x:c r="F17" s="28" t="str">
        <x:v>SQL / Power BI</x:v>
      </x:c>
      <x:c r="G17" s="28" t="str">
        <x:v>Intermediate</x:v>
      </x:c>
      <x:c r="H17" s="28" t="str">
        <x:v>Deliveries, SalesOrders, Customers, Branches, Vehicles</x:v>
      </x:c>
      <x:c r="I17" s="28" t="str">
        <x:v>On-Time Delivery %</x:v>
      </x:c>
      <x:c r="J17" s="28" t="str">
        <x:v>Delivery performance dashboard</x:v>
      </x:c>
      <x:c r="K17" t="n">
        <x:v>6</x:v>
      </x:c>
      <x:c r="L17" t="str">
        <x:v>High</x:v>
      </x:c>
      <x:c r="M17" t="str">
        <x:v>Ready</x:v>
      </x:c>
      <x:c r="N17" s="28" t="str"/>
    </x:row>
    <x:row r="18">
      <x:c r="A18" t="str">
        <x:v>CASE-014</x:v>
      </x:c>
      <x:c r="B18" t="str">
        <x:v>Logistics</x:v>
      </x:c>
      <x:c r="C18" s="28" t="str">
        <x:v>Vehicle Maintenance Cost</x:v>
      </x:c>
      <x:c r="D18" s="28" t="str">
        <x:v>Management wants to reduce fleet downtime and maintenance costs.</x:v>
      </x:c>
      <x:c r="E18" s="28" t="str">
        <x:v>Logistics Manager</x:v>
      </x:c>
      <x:c r="F18" s="28" t="str">
        <x:v>Excel / Power BI</x:v>
      </x:c>
      <x:c r="G18" s="28" t="str">
        <x:v>Beginner</x:v>
      </x:c>
      <x:c r="H18" s="28" t="str">
        <x:v>Vehicles, VehicleMaintenance, Deliveries, Branches</x:v>
      </x:c>
      <x:c r="I18" s="28" t="str">
        <x:v>Maintenance Cost per Vehicle</x:v>
      </x:c>
      <x:c r="J18" s="28" t="str">
        <x:v>Fleet maintenance report</x:v>
      </x:c>
      <x:c r="K18" t="n">
        <x:v>5</x:v>
      </x:c>
      <x:c r="L18" t="str">
        <x:v>Medium</x:v>
      </x:c>
      <x:c r="M18" t="str">
        <x:v>Ready</x:v>
      </x:c>
      <x:c r="N18" s="28" t="str"/>
    </x:row>
    <x:row r="19">
      <x:c r="A19" t="str">
        <x:v>CASE-015</x:v>
      </x:c>
      <x:c r="B19" t="str">
        <x:v>Marketing</x:v>
      </x:c>
      <x:c r="C19" s="28" t="str">
        <x:v>Campaign Return Analysis</x:v>
      </x:c>
      <x:c r="D19" s="28" t="str">
        <x:v>Marketing needs to determine which campaigns generate customers and sales.</x:v>
      </x:c>
      <x:c r="E19" s="28" t="str">
        <x:v>Marketing Manager</x:v>
      </x:c>
      <x:c r="F19" s="28" t="str">
        <x:v>Excel / SQL / Power BI</x:v>
      </x:c>
      <x:c r="G19" s="28" t="str">
        <x:v>Intermediate</x:v>
      </x:c>
      <x:c r="H19" s="28" t="str">
        <x:v>MarketingCampaigns, MarketingLeads, Customers, SalesOrders, MarketingExpenses</x:v>
      </x:c>
      <x:c r="I19" s="28" t="str">
        <x:v>Campaign ROI</x:v>
      </x:c>
      <x:c r="J19" s="28" t="str">
        <x:v>Campaign effectiveness report</x:v>
      </x:c>
      <x:c r="K19" t="n">
        <x:v>6</x:v>
      </x:c>
      <x:c r="L19" t="str">
        <x:v>High</x:v>
      </x:c>
      <x:c r="M19" t="str">
        <x:v>Ready</x:v>
      </x:c>
      <x:c r="N19" s="28" t="str"/>
    </x:row>
    <x:row r="20">
      <x:c r="A20" t="str">
        <x:v>CASE-016</x:v>
      </x:c>
      <x:c r="B20" t="str">
        <x:v>Marketing</x:v>
      </x:c>
      <x:c r="C20" s="28" t="str">
        <x:v>Customer Segmentation</x:v>
      </x:c>
      <x:c r="D20" s="28" t="str">
        <x:v>Marketing wants practical customer segments for targeted offers.</x:v>
      </x:c>
      <x:c r="E20" s="28" t="str">
        <x:v>Marketing Manager</x:v>
      </x:c>
      <x:c r="F20" s="28" t="str">
        <x:v>Excel / Power BI / AI</x:v>
      </x:c>
      <x:c r="G20" s="28" t="str">
        <x:v>Intermediate</x:v>
      </x:c>
      <x:c r="H20" s="28" t="str">
        <x:v>Customers, SalesOrders, SalesItems, LoyaltyTransactions</x:v>
      </x:c>
      <x:c r="I20" s="28" t="str">
        <x:v>Customer Lifetime Value</x:v>
      </x:c>
      <x:c r="J20" s="28" t="str">
        <x:v>Customer segmentation profile</x:v>
      </x:c>
      <x:c r="K20" t="n">
        <x:v>7</x:v>
      </x:c>
      <x:c r="L20" t="str">
        <x:v>Medium</x:v>
      </x:c>
      <x:c r="M20" t="str">
        <x:v>Ready</x:v>
      </x:c>
      <x:c r="N20" s="28" t="str"/>
    </x:row>
    <x:row r="21">
      <x:c r="A21" t="str">
        <x:v>CASE-017</x:v>
      </x:c>
      <x:c r="B21" t="str">
        <x:v>Customer Service</x:v>
      </x:c>
      <x:c r="C21" s="28" t="str">
        <x:v>Complaint Root-Cause Analysis</x:v>
      </x:c>
      <x:c r="D21" s="28" t="str">
        <x:v>Complaint volumes are increasing and management needs the main causes identified.</x:v>
      </x:c>
      <x:c r="E21" s="28" t="str">
        <x:v>Customer Service Manager</x:v>
      </x:c>
      <x:c r="F21" s="28" t="str">
        <x:v>Excel / SQL / Power BI</x:v>
      </x:c>
      <x:c r="G21" s="28" t="str">
        <x:v>Beginner</x:v>
      </x:c>
      <x:c r="H21" s="28" t="str">
        <x:v>CustomerComplaints, CustomerInteractions, Customers, SalesOrders</x:v>
      </x:c>
      <x:c r="I21" s="28" t="str">
        <x:v>Complaint Resolution Time</x:v>
      </x:c>
      <x:c r="J21" s="28" t="str">
        <x:v>Complaint analysis report</x:v>
      </x:c>
      <x:c r="K21" t="n">
        <x:v>5</x:v>
      </x:c>
      <x:c r="L21" t="str">
        <x:v>High</x:v>
      </x:c>
      <x:c r="M21" t="str">
        <x:v>Ready</x:v>
      </x:c>
      <x:c r="N21" s="28" t="str"/>
    </x:row>
    <x:row r="22">
      <x:c r="A22" t="str">
        <x:v>CASE-018</x:v>
      </x:c>
      <x:c r="B22" t="str">
        <x:v>Customer Service</x:v>
      </x:c>
      <x:c r="C22" s="28" t="str">
        <x:v>Service Quality Review</x:v>
      </x:c>
      <x:c r="D22" s="28" t="str">
        <x:v>Management wants to compare complaint resolution and satisfaction by employee and branch.</x:v>
      </x:c>
      <x:c r="E22" s="28" t="str">
        <x:v>Customer Service Manager</x:v>
      </x:c>
      <x:c r="F22" s="28" t="str">
        <x:v>SQL / Power BI</x:v>
      </x:c>
      <x:c r="G22" s="28" t="str">
        <x:v>Intermediate</x:v>
      </x:c>
      <x:c r="H22" s="28" t="str">
        <x:v>CustomerComplaints, CustomerInteractions, Employees, Branches</x:v>
      </x:c>
      <x:c r="I22" s="28" t="str">
        <x:v>Customer Satisfaction Score</x:v>
      </x:c>
      <x:c r="J22" s="28" t="str">
        <x:v>Service quality dashboard</x:v>
      </x:c>
      <x:c r="K22" t="n">
        <x:v>5</x:v>
      </x:c>
      <x:c r="L22" t="str">
        <x:v>Medium</x:v>
      </x:c>
      <x:c r="M22" t="str">
        <x:v>Ready</x:v>
      </x:c>
      <x:c r="N22" s="28" t="str"/>
    </x:row>
    <x:row r="23">
      <x:c r="A23" t="str">
        <x:v>CASE-019</x:v>
      </x:c>
      <x:c r="B23" t="str">
        <x:v>Information Technology</x:v>
      </x:c>
      <x:c r="C23" s="28" t="str">
        <x:v>Support Ticket Performance</x:v>
      </x:c>
      <x:c r="D23" s="28" t="str">
        <x:v>IT wants to reduce unresolved and repeated support incidents.</x:v>
      </x:c>
      <x:c r="E23" s="28" t="str">
        <x:v>IT Manager</x:v>
      </x:c>
      <x:c r="F23" s="28" t="str">
        <x:v>Excel / SQL / Power BI</x:v>
      </x:c>
      <x:c r="G23" s="28" t="str">
        <x:v>Beginner</x:v>
      </x:c>
      <x:c r="H23" s="28" t="str">
        <x:v>ITSupportTickets, ITAssets, Employees, Branches</x:v>
      </x:c>
      <x:c r="I23" s="28" t="str">
        <x:v>Average Resolution Time</x:v>
      </x:c>
      <x:c r="J23" s="28" t="str">
        <x:v>IT support performance report</x:v>
      </x:c>
      <x:c r="K23" t="n">
        <x:v>5</x:v>
      </x:c>
      <x:c r="L23" t="str">
        <x:v>Medium</x:v>
      </x:c>
      <x:c r="M23" t="str">
        <x:v>Ready</x:v>
      </x:c>
      <x:c r="N23" s="28" t="str"/>
    </x:row>
    <x:row r="24">
      <x:c r="A24" t="str">
        <x:v>CASE-020</x:v>
      </x:c>
      <x:c r="B24" t="str">
        <x:v>Information Security</x:v>
      </x:c>
      <x:c r="C24" s="28" t="str">
        <x:v>Security Incident Trends</x:v>
      </x:c>
      <x:c r="D24" s="28" t="str">
        <x:v>Security management needs visibility into incidents, alerts, affected assets, and response times.</x:v>
      </x:c>
      <x:c r="E24" s="28" t="str">
        <x:v>Information Security Officer</x:v>
      </x:c>
      <x:c r="F24" s="28" t="str">
        <x:v>SQL / Power BI</x:v>
      </x:c>
      <x:c r="G24" s="28" t="str">
        <x:v>Intermediate</x:v>
      </x:c>
      <x:c r="H24" s="28" t="str">
        <x:v>SecurityIncidents, SecurityAlerts, ITAssets, SystemUsers, Branches</x:v>
      </x:c>
      <x:c r="I24" s="28" t="str">
        <x:v>Mean Time to Resolve</x:v>
      </x:c>
      <x:c r="J24" s="28" t="str">
        <x:v>Security operations dashboard</x:v>
      </x:c>
      <x:c r="K24" t="n">
        <x:v>7</x:v>
      </x:c>
      <x:c r="L24" t="str">
        <x:v>High</x:v>
      </x:c>
      <x:c r="M24" t="str">
        <x:v>Ready</x:v>
      </x:c>
      <x:c r="N24" s="28" t="str"/>
    </x:row>
    <x:row r="25">
      <x:c r="A25" t="str">
        <x:v>CASE-021</x:v>
      </x:c>
      <x:c r="B25" t="str">
        <x:v>Risk and Audit</x:v>
      </x:c>
      <x:c r="C25" s="28" t="str">
        <x:v>Audit Finding Closure</x:v>
      </x:c>
      <x:c r="D25" s="28" t="str">
        <x:v>Management wants to identify overdue corrective actions and repeat findings.</x:v>
      </x:c>
      <x:c r="E25" s="28" t="str">
        <x:v>Internal Audit / Risk Manager</x:v>
      </x:c>
      <x:c r="F25" s="28" t="str">
        <x:v>Excel / SQL / Power BI</x:v>
      </x:c>
      <x:c r="G25" s="28" t="str">
        <x:v>Intermediate</x:v>
      </x:c>
      <x:c r="H25" s="28" t="str">
        <x:v>AuditFindings, RiskRegister, Departments, Employees</x:v>
      </x:c>
      <x:c r="I25" s="28" t="str">
        <x:v>Overdue Findings</x:v>
      </x:c>
      <x:c r="J25" s="28" t="str">
        <x:v>Audit action tracker</x:v>
      </x:c>
      <x:c r="K25" t="n">
        <x:v>6</x:v>
      </x:c>
      <x:c r="L25" t="str">
        <x:v>High</x:v>
      </x:c>
      <x:c r="M25" t="str">
        <x:v>Ready</x:v>
      </x:c>
      <x:c r="N25" s="28" t="str"/>
    </x:row>
    <x:row r="26">
      <x:c r="A26" t="str">
        <x:v>CASE-022</x:v>
      </x:c>
      <x:c r="B26" t="str">
        <x:v>Business Intelligence</x:v>
      </x:c>
      <x:c r="C26" s="28" t="str">
        <x:v>Enterprise KPI Quality Review</x:v>
      </x:c>
      <x:c r="D26" s="28" t="str">
        <x:v>The BI team must confirm that reported KPIs are accurate, complete, and consistently defined.</x:v>
      </x:c>
      <x:c r="E26" s="28" t="str">
        <x:v>BI Manager</x:v>
      </x:c>
      <x:c r="F26" s="28" t="str">
        <x:v>Excel / SQL / Power BI</x:v>
      </x:c>
      <x:c r="G26" s="28" t="str">
        <x:v>Advanced</x:v>
      </x:c>
      <x:c r="H26" s="28" t="str">
        <x:v>KPIDefinitions, KPIResults, source fact tables</x:v>
      </x:c>
      <x:c r="I26" s="28" t="str">
        <x:v>KPI Validation Rate</x:v>
      </x:c>
      <x:c r="J26" s="28" t="str">
        <x:v>KPI assurance report</x:v>
      </x:c>
      <x:c r="K26" t="n">
        <x:v>8</x:v>
      </x:c>
      <x:c r="L26" t="str">
        <x:v>High</x:v>
      </x:c>
      <x:c r="M26" t="str">
        <x:v>Ready</x:v>
      </x:c>
      <x:c r="N26" s="28" t="str"/>
    </x:row>
    <x:row r="27">
      <x:c r="C27" s="28"/>
      <x:c r="D27" s="28"/>
      <x:c r="E27" s="28"/>
      <x:c r="F27" s="28"/>
      <x:c r="G27" s="28"/>
      <x:c r="H27" s="28"/>
      <x:c r="I27" s="28"/>
      <x:c r="J27" s="28"/>
      <x:c r="N27" s="28"/>
    </x:row>
    <x:row r="28">
      <x:c r="C28" s="28"/>
      <x:c r="D28" s="28"/>
      <x:c r="E28" s="28"/>
      <x:c r="F28" s="28"/>
      <x:c r="G28" s="28"/>
      <x:c r="H28" s="28"/>
      <x:c r="I28" s="28"/>
      <x:c r="J28" s="28"/>
      <x:c r="N28" s="28"/>
    </x:row>
    <x:row r="29">
      <x:c r="C29" s="28"/>
      <x:c r="D29" s="28"/>
      <x:c r="E29" s="28"/>
      <x:c r="F29" s="28"/>
      <x:c r="G29" s="28"/>
      <x:c r="H29" s="28"/>
      <x:c r="I29" s="28"/>
      <x:c r="J29" s="28"/>
      <x:c r="N29" s="28"/>
    </x:row>
    <x:row r="30">
      <x:c r="C30" s="28"/>
      <x:c r="D30" s="28"/>
      <x:c r="E30" s="28"/>
      <x:c r="F30" s="28"/>
      <x:c r="G30" s="28"/>
      <x:c r="H30" s="28"/>
      <x:c r="I30" s="28"/>
      <x:c r="J30" s="28"/>
      <x:c r="N30" s="28"/>
    </x:row>
    <x:row r="31">
      <x:c r="C31" s="28"/>
      <x:c r="D31" s="28"/>
      <x:c r="E31" s="28"/>
      <x:c r="F31" s="28"/>
      <x:c r="G31" s="28"/>
      <x:c r="H31" s="28"/>
      <x:c r="I31" s="28"/>
      <x:c r="J31" s="28"/>
      <x:c r="N31" s="28"/>
    </x:row>
    <x:row r="32">
      <x:c r="C32" s="28"/>
      <x:c r="D32" s="28"/>
      <x:c r="E32" s="28"/>
      <x:c r="F32" s="28"/>
      <x:c r="G32" s="28"/>
      <x:c r="H32" s="28"/>
      <x:c r="I32" s="28"/>
      <x:c r="J32" s="28"/>
      <x:c r="N32" s="28"/>
    </x:row>
    <x:row r="33">
      <x:c r="C33" s="28"/>
      <x:c r="D33" s="28"/>
      <x:c r="E33" s="28"/>
      <x:c r="F33" s="28"/>
      <x:c r="G33" s="28"/>
      <x:c r="H33" s="28"/>
      <x:c r="I33" s="28"/>
      <x:c r="J33" s="28"/>
      <x:c r="N33" s="28"/>
    </x:row>
    <x:row r="34">
      <x:c r="C34" s="28"/>
      <x:c r="D34" s="28"/>
      <x:c r="E34" s="28"/>
      <x:c r="F34" s="28"/>
      <x:c r="G34" s="28"/>
      <x:c r="H34" s="28"/>
      <x:c r="I34" s="28"/>
      <x:c r="J34" s="28"/>
      <x:c r="N34" s="28"/>
    </x:row>
    <x:row r="35">
      <x:c r="C35" s="28"/>
      <x:c r="D35" s="28"/>
      <x:c r="E35" s="28"/>
      <x:c r="F35" s="28"/>
      <x:c r="G35" s="28"/>
      <x:c r="H35" s="28"/>
      <x:c r="I35" s="28"/>
      <x:c r="J35" s="28"/>
      <x:c r="N35" s="28"/>
    </x:row>
    <x:row r="36">
      <x:c r="C36" s="28"/>
      <x:c r="D36" s="28"/>
      <x:c r="E36" s="28"/>
      <x:c r="F36" s="28"/>
      <x:c r="G36" s="28"/>
      <x:c r="H36" s="28"/>
      <x:c r="I36" s="28"/>
      <x:c r="J36" s="28"/>
      <x:c r="N36" s="28"/>
    </x:row>
    <x:row r="37">
      <x:c r="C37" s="28"/>
      <x:c r="D37" s="28"/>
      <x:c r="E37" s="28"/>
      <x:c r="F37" s="28"/>
      <x:c r="G37" s="28"/>
      <x:c r="H37" s="28"/>
      <x:c r="I37" s="28"/>
      <x:c r="J37" s="28"/>
      <x:c r="N37" s="28"/>
    </x:row>
    <x:row r="38">
      <x:c r="C38" s="28"/>
      <x:c r="D38" s="28"/>
      <x:c r="E38" s="28"/>
      <x:c r="F38" s="28"/>
      <x:c r="G38" s="28"/>
      <x:c r="H38" s="28"/>
      <x:c r="I38" s="28"/>
      <x:c r="J38" s="28"/>
      <x:c r="N38" s="28"/>
    </x:row>
    <x:row r="39">
      <x:c r="C39" s="28"/>
      <x:c r="D39" s="28"/>
      <x:c r="E39" s="28"/>
      <x:c r="F39" s="28"/>
      <x:c r="G39" s="28"/>
      <x:c r="H39" s="28"/>
      <x:c r="I39" s="28"/>
      <x:c r="J39" s="28"/>
      <x:c r="N39" s="28"/>
    </x:row>
    <x:row r="40">
      <x:c r="C40" s="28"/>
      <x:c r="D40" s="28"/>
      <x:c r="E40" s="28"/>
      <x:c r="F40" s="28"/>
      <x:c r="G40" s="28"/>
      <x:c r="H40" s="28"/>
      <x:c r="I40" s="28"/>
      <x:c r="J40" s="28"/>
      <x:c r="N40" s="28"/>
    </x:row>
    <x:row r="41">
      <x:c r="C41" s="28"/>
      <x:c r="D41" s="28"/>
      <x:c r="E41" s="28"/>
      <x:c r="F41" s="28"/>
      <x:c r="G41" s="28"/>
      <x:c r="H41" s="28"/>
      <x:c r="I41" s="28"/>
      <x:c r="J41" s="28"/>
      <x:c r="N41" s="28"/>
    </x:row>
    <x:row r="42">
      <x:c r="C42" s="28"/>
      <x:c r="D42" s="28"/>
      <x:c r="E42" s="28"/>
      <x:c r="F42" s="28"/>
      <x:c r="G42" s="28"/>
      <x:c r="H42" s="28"/>
      <x:c r="I42" s="28"/>
      <x:c r="J42" s="28"/>
      <x:c r="N42" s="28"/>
    </x:row>
    <x:row r="43">
      <x:c r="C43" s="28"/>
      <x:c r="D43" s="28"/>
      <x:c r="E43" s="28"/>
      <x:c r="F43" s="28"/>
      <x:c r="G43" s="28"/>
      <x:c r="H43" s="28"/>
      <x:c r="I43" s="28"/>
      <x:c r="J43" s="28"/>
      <x:c r="N43" s="28"/>
    </x:row>
    <x:row r="44">
      <x:c r="C44" s="28"/>
      <x:c r="D44" s="28"/>
      <x:c r="E44" s="28"/>
      <x:c r="F44" s="28"/>
      <x:c r="G44" s="28"/>
      <x:c r="H44" s="28"/>
      <x:c r="I44" s="28"/>
      <x:c r="J44" s="28"/>
      <x:c r="N44" s="28"/>
    </x:row>
    <x:row r="45">
      <x:c r="C45" s="28"/>
      <x:c r="D45" s="28"/>
      <x:c r="E45" s="28"/>
      <x:c r="F45" s="28"/>
      <x:c r="G45" s="28"/>
      <x:c r="H45" s="28"/>
      <x:c r="I45" s="28"/>
      <x:c r="J45" s="28"/>
      <x:c r="N45" s="28"/>
    </x:row>
    <x:row r="46">
      <x:c r="C46" s="28"/>
      <x:c r="D46" s="28"/>
      <x:c r="E46" s="28"/>
      <x:c r="F46" s="28"/>
      <x:c r="G46" s="28"/>
      <x:c r="H46" s="28"/>
      <x:c r="I46" s="28"/>
      <x:c r="J46" s="28"/>
      <x:c r="N46" s="28"/>
    </x:row>
    <x:row r="47">
      <x:c r="C47" s="28"/>
      <x:c r="D47" s="28"/>
      <x:c r="E47" s="28"/>
      <x:c r="F47" s="28"/>
      <x:c r="G47" s="28"/>
      <x:c r="H47" s="28"/>
      <x:c r="I47" s="28"/>
      <x:c r="J47" s="28"/>
      <x:c r="N47" s="28"/>
    </x:row>
    <x:row r="48">
      <x:c r="C48" s="28"/>
      <x:c r="D48" s="28"/>
      <x:c r="E48" s="28"/>
      <x:c r="F48" s="28"/>
      <x:c r="G48" s="28"/>
      <x:c r="H48" s="28"/>
      <x:c r="I48" s="28"/>
      <x:c r="J48" s="28"/>
      <x:c r="N48" s="28"/>
    </x:row>
    <x:row r="49">
      <x:c r="C49" s="28"/>
      <x:c r="D49" s="28"/>
      <x:c r="E49" s="28"/>
      <x:c r="F49" s="28"/>
      <x:c r="G49" s="28"/>
      <x:c r="H49" s="28"/>
      <x:c r="I49" s="28"/>
      <x:c r="J49" s="28"/>
      <x:c r="N49" s="28"/>
    </x:row>
    <x:row r="50">
      <x:c r="C50" s="28"/>
      <x:c r="D50" s="28"/>
      <x:c r="E50" s="28"/>
      <x:c r="F50" s="28"/>
      <x:c r="G50" s="28"/>
      <x:c r="H50" s="28"/>
      <x:c r="I50" s="28"/>
      <x:c r="J50" s="28"/>
      <x:c r="N50" s="28"/>
    </x:row>
    <x:row r="51">
      <x:c r="C51" s="28"/>
      <x:c r="D51" s="28"/>
      <x:c r="E51" s="28"/>
      <x:c r="F51" s="28"/>
      <x:c r="G51" s="28"/>
      <x:c r="H51" s="28"/>
      <x:c r="I51" s="28"/>
      <x:c r="J51" s="28"/>
      <x:c r="N51" s="28"/>
    </x:row>
    <x:row r="52">
      <x:c r="C52" s="28"/>
      <x:c r="D52" s="28"/>
      <x:c r="E52" s="28"/>
      <x:c r="F52" s="28"/>
      <x:c r="G52" s="28"/>
      <x:c r="H52" s="28"/>
      <x:c r="I52" s="28"/>
      <x:c r="J52" s="28"/>
      <x:c r="N52" s="28"/>
    </x:row>
    <x:row r="53">
      <x:c r="C53" s="28"/>
      <x:c r="D53" s="28"/>
      <x:c r="E53" s="28"/>
      <x:c r="F53" s="28"/>
      <x:c r="G53" s="28"/>
      <x:c r="H53" s="28"/>
      <x:c r="I53" s="28"/>
      <x:c r="J53" s="28"/>
      <x:c r="N53" s="28"/>
    </x:row>
    <x:row r="54">
      <x:c r="C54" s="28"/>
      <x:c r="D54" s="28"/>
      <x:c r="E54" s="28"/>
      <x:c r="F54" s="28"/>
      <x:c r="G54" s="28"/>
      <x:c r="H54" s="28"/>
      <x:c r="I54" s="28"/>
      <x:c r="J54" s="28"/>
      <x:c r="N54" s="28"/>
    </x:row>
    <x:row r="55">
      <x:c r="C55" s="28"/>
      <x:c r="D55" s="28"/>
      <x:c r="E55" s="28"/>
      <x:c r="F55" s="28"/>
      <x:c r="G55" s="28"/>
      <x:c r="H55" s="28"/>
      <x:c r="I55" s="28"/>
      <x:c r="J55" s="28"/>
      <x:c r="N55" s="28"/>
    </x:row>
    <x:row r="56">
      <x:c r="C56" s="28"/>
      <x:c r="D56" s="28"/>
      <x:c r="E56" s="28"/>
      <x:c r="F56" s="28"/>
      <x:c r="G56" s="28"/>
      <x:c r="H56" s="28"/>
      <x:c r="I56" s="28"/>
      <x:c r="J56" s="28"/>
      <x:c r="N56" s="28"/>
    </x:row>
    <x:row r="57">
      <x:c r="C57" s="28"/>
      <x:c r="D57" s="28"/>
      <x:c r="E57" s="28"/>
      <x:c r="F57" s="28"/>
      <x:c r="G57" s="28"/>
      <x:c r="H57" s="28"/>
      <x:c r="I57" s="28"/>
      <x:c r="J57" s="28"/>
      <x:c r="N57" s="28"/>
    </x:row>
    <x:row r="58">
      <x:c r="C58" s="28"/>
      <x:c r="D58" s="28"/>
      <x:c r="E58" s="28"/>
      <x:c r="F58" s="28"/>
      <x:c r="G58" s="28"/>
      <x:c r="H58" s="28"/>
      <x:c r="I58" s="28"/>
      <x:c r="J58" s="28"/>
      <x:c r="N58" s="28"/>
    </x:row>
    <x:row r="59">
      <x:c r="C59" s="28"/>
      <x:c r="D59" s="28"/>
      <x:c r="E59" s="28"/>
      <x:c r="F59" s="28"/>
      <x:c r="G59" s="28"/>
      <x:c r="H59" s="28"/>
      <x:c r="I59" s="28"/>
      <x:c r="J59" s="28"/>
      <x:c r="N59" s="28"/>
    </x:row>
    <x:row r="60">
      <x:c r="C60" s="28"/>
      <x:c r="D60" s="28"/>
      <x:c r="E60" s="28"/>
      <x:c r="F60" s="28"/>
      <x:c r="G60" s="28"/>
      <x:c r="H60" s="28"/>
      <x:c r="I60" s="28"/>
      <x:c r="J60" s="28"/>
      <x:c r="N60" s="28"/>
    </x:row>
    <x:row r="61">
      <x:c r="C61" s="28"/>
      <x:c r="D61" s="28"/>
      <x:c r="E61" s="28"/>
      <x:c r="F61" s="28"/>
      <x:c r="G61" s="28"/>
      <x:c r="H61" s="28"/>
      <x:c r="I61" s="28"/>
      <x:c r="J61" s="28"/>
      <x:c r="N61" s="28"/>
    </x:row>
    <x:row r="62">
      <x:c r="C62" s="28"/>
      <x:c r="D62" s="28"/>
      <x:c r="E62" s="28"/>
      <x:c r="F62" s="28"/>
      <x:c r="G62" s="28"/>
      <x:c r="H62" s="28"/>
      <x:c r="I62" s="28"/>
      <x:c r="J62" s="28"/>
      <x:c r="N62" s="28"/>
    </x:row>
    <x:row r="63">
      <x:c r="C63" s="28"/>
      <x:c r="D63" s="28"/>
      <x:c r="E63" s="28"/>
      <x:c r="F63" s="28"/>
      <x:c r="G63" s="28"/>
      <x:c r="H63" s="28"/>
      <x:c r="I63" s="28"/>
      <x:c r="J63" s="28"/>
      <x:c r="N63" s="28"/>
    </x:row>
    <x:row r="64">
      <x:c r="C64" s="28"/>
      <x:c r="D64" s="28"/>
      <x:c r="E64" s="28"/>
      <x:c r="F64" s="28"/>
      <x:c r="G64" s="28"/>
      <x:c r="H64" s="28"/>
      <x:c r="I64" s="28"/>
      <x:c r="J64" s="28"/>
      <x:c r="N64" s="28"/>
    </x:row>
    <x:row r="65">
      <x:c r="C65" s="28"/>
      <x:c r="D65" s="28"/>
      <x:c r="E65" s="28"/>
      <x:c r="F65" s="28"/>
      <x:c r="G65" s="28"/>
      <x:c r="H65" s="28"/>
      <x:c r="I65" s="28"/>
      <x:c r="J65" s="28"/>
      <x:c r="N65" s="28"/>
    </x:row>
    <x:row r="66">
      <x:c r="C66" s="28"/>
      <x:c r="D66" s="28"/>
      <x:c r="E66" s="28"/>
      <x:c r="F66" s="28"/>
      <x:c r="G66" s="28"/>
      <x:c r="H66" s="28"/>
      <x:c r="I66" s="28"/>
      <x:c r="J66" s="28"/>
      <x:c r="N66" s="28"/>
    </x:row>
    <x:row r="67">
      <x:c r="C67" s="28"/>
      <x:c r="D67" s="28"/>
      <x:c r="E67" s="28"/>
      <x:c r="F67" s="28"/>
      <x:c r="G67" s="28"/>
      <x:c r="H67" s="28"/>
      <x:c r="I67" s="28"/>
      <x:c r="J67" s="28"/>
      <x:c r="N67" s="28"/>
    </x:row>
    <x:row r="68">
      <x:c r="C68" s="28"/>
      <x:c r="D68" s="28"/>
      <x:c r="E68" s="28"/>
      <x:c r="F68" s="28"/>
      <x:c r="G68" s="28"/>
      <x:c r="H68" s="28"/>
      <x:c r="I68" s="28"/>
      <x:c r="J68" s="28"/>
      <x:c r="N68" s="28"/>
    </x:row>
    <x:row r="69">
      <x:c r="C69" s="28"/>
      <x:c r="D69" s="28"/>
      <x:c r="E69" s="28"/>
      <x:c r="F69" s="28"/>
      <x:c r="G69" s="28"/>
      <x:c r="H69" s="28"/>
      <x:c r="I69" s="28"/>
      <x:c r="J69" s="28"/>
      <x:c r="N69" s="28"/>
    </x:row>
    <x:row r="70">
      <x:c r="C70" s="28"/>
      <x:c r="D70" s="28"/>
      <x:c r="E70" s="28"/>
      <x:c r="F70" s="28"/>
      <x:c r="G70" s="28"/>
      <x:c r="H70" s="28"/>
      <x:c r="I70" s="28"/>
      <x:c r="J70" s="28"/>
      <x:c r="N70" s="28"/>
    </x:row>
    <x:row r="71">
      <x:c r="C71" s="28"/>
      <x:c r="D71" s="28"/>
      <x:c r="E71" s="28"/>
      <x:c r="F71" s="28"/>
      <x:c r="G71" s="28"/>
      <x:c r="H71" s="28"/>
      <x:c r="I71" s="28"/>
      <x:c r="J71" s="28"/>
      <x:c r="N71" s="28"/>
    </x:row>
    <x:row r="72">
      <x:c r="C72" s="28"/>
      <x:c r="D72" s="28"/>
      <x:c r="E72" s="28"/>
      <x:c r="F72" s="28"/>
      <x:c r="G72" s="28"/>
      <x:c r="H72" s="28"/>
      <x:c r="I72" s="28"/>
      <x:c r="J72" s="28"/>
      <x:c r="N72" s="28"/>
    </x:row>
    <x:row r="73">
      <x:c r="C73" s="28"/>
      <x:c r="D73" s="28"/>
      <x:c r="E73" s="28"/>
      <x:c r="F73" s="28"/>
      <x:c r="G73" s="28"/>
      <x:c r="H73" s="28"/>
      <x:c r="I73" s="28"/>
      <x:c r="J73" s="28"/>
      <x:c r="N73" s="28"/>
    </x:row>
    <x:row r="74">
      <x:c r="C74" s="28"/>
      <x:c r="D74" s="28"/>
      <x:c r="E74" s="28"/>
      <x:c r="F74" s="28"/>
      <x:c r="G74" s="28"/>
      <x:c r="H74" s="28"/>
      <x:c r="I74" s="28"/>
      <x:c r="J74" s="28"/>
      <x:c r="N74" s="28"/>
    </x:row>
    <x:row r="75">
      <x:c r="C75" s="28"/>
      <x:c r="D75" s="28"/>
      <x:c r="E75" s="28"/>
      <x:c r="F75" s="28"/>
      <x:c r="G75" s="28"/>
      <x:c r="H75" s="28"/>
      <x:c r="I75" s="28"/>
      <x:c r="J75" s="28"/>
      <x:c r="N75" s="28"/>
    </x:row>
    <x:row r="76">
      <x:c r="C76" s="28"/>
      <x:c r="D76" s="28"/>
      <x:c r="E76" s="28"/>
      <x:c r="F76" s="28"/>
      <x:c r="G76" s="28"/>
      <x:c r="H76" s="28"/>
      <x:c r="I76" s="28"/>
      <x:c r="J76" s="28"/>
      <x:c r="N76" s="28"/>
    </x:row>
    <x:row r="77">
      <x:c r="C77" s="28"/>
      <x:c r="D77" s="28"/>
      <x:c r="E77" s="28"/>
      <x:c r="F77" s="28"/>
      <x:c r="G77" s="28"/>
      <x:c r="H77" s="28"/>
      <x:c r="I77" s="28"/>
      <x:c r="J77" s="28"/>
      <x:c r="N77" s="28"/>
    </x:row>
    <x:row r="78">
      <x:c r="C78" s="28"/>
      <x:c r="D78" s="28"/>
      <x:c r="E78" s="28"/>
      <x:c r="F78" s="28"/>
      <x:c r="G78" s="28"/>
      <x:c r="H78" s="28"/>
      <x:c r="I78" s="28"/>
      <x:c r="J78" s="28"/>
      <x:c r="N78" s="28"/>
    </x:row>
    <x:row r="79">
      <x:c r="C79" s="28"/>
      <x:c r="D79" s="28"/>
      <x:c r="E79" s="28"/>
      <x:c r="F79" s="28"/>
      <x:c r="G79" s="28"/>
      <x:c r="H79" s="28"/>
      <x:c r="I79" s="28"/>
      <x:c r="J79" s="28"/>
      <x:c r="N79" s="28"/>
    </x:row>
    <x:row r="80">
      <x:c r="C80" s="28"/>
      <x:c r="D80" s="28"/>
      <x:c r="E80" s="28"/>
      <x:c r="F80" s="28"/>
      <x:c r="G80" s="28"/>
      <x:c r="H80" s="28"/>
      <x:c r="I80" s="28"/>
      <x:c r="J80" s="28"/>
      <x:c r="N80" s="28"/>
    </x:row>
    <x:row r="81">
      <x:c r="C81" s="28"/>
      <x:c r="D81" s="28"/>
      <x:c r="E81" s="28"/>
      <x:c r="F81" s="28"/>
      <x:c r="G81" s="28"/>
      <x:c r="H81" s="28"/>
      <x:c r="I81" s="28"/>
      <x:c r="J81" s="28"/>
      <x:c r="N81" s="28"/>
    </x:row>
    <x:row r="82">
      <x:c r="C82" s="28"/>
      <x:c r="D82" s="28"/>
      <x:c r="E82" s="28"/>
      <x:c r="F82" s="28"/>
      <x:c r="G82" s="28"/>
      <x:c r="H82" s="28"/>
      <x:c r="I82" s="28"/>
      <x:c r="J82" s="28"/>
      <x:c r="N82" s="28"/>
    </x:row>
    <x:row r="83">
      <x:c r="C83" s="28"/>
      <x:c r="D83" s="28"/>
      <x:c r="E83" s="28"/>
      <x:c r="F83" s="28"/>
      <x:c r="G83" s="28"/>
      <x:c r="H83" s="28"/>
      <x:c r="I83" s="28"/>
      <x:c r="J83" s="28"/>
      <x:c r="N83" s="28"/>
    </x:row>
    <x:row r="84">
      <x:c r="C84" s="28"/>
      <x:c r="D84" s="28"/>
      <x:c r="E84" s="28"/>
      <x:c r="F84" s="28"/>
      <x:c r="G84" s="28"/>
      <x:c r="H84" s="28"/>
      <x:c r="I84" s="28"/>
      <x:c r="J84" s="28"/>
      <x:c r="N84" s="28"/>
    </x:row>
    <x:row r="85">
      <x:c r="C85" s="28"/>
      <x:c r="D85" s="28"/>
      <x:c r="E85" s="28"/>
      <x:c r="F85" s="28"/>
      <x:c r="G85" s="28"/>
      <x:c r="H85" s="28"/>
      <x:c r="I85" s="28"/>
      <x:c r="J85" s="28"/>
      <x:c r="N85" s="28"/>
    </x:row>
    <x:row r="86">
      <x:c r="C86" s="28"/>
      <x:c r="D86" s="28"/>
      <x:c r="E86" s="28"/>
      <x:c r="F86" s="28"/>
      <x:c r="G86" s="28"/>
      <x:c r="H86" s="28"/>
      <x:c r="I86" s="28"/>
      <x:c r="J86" s="28"/>
      <x:c r="N86" s="28"/>
    </x:row>
    <x:row r="87">
      <x:c r="C87" s="28"/>
      <x:c r="D87" s="28"/>
      <x:c r="E87" s="28"/>
      <x:c r="F87" s="28"/>
      <x:c r="G87" s="28"/>
      <x:c r="H87" s="28"/>
      <x:c r="I87" s="28"/>
      <x:c r="J87" s="28"/>
      <x:c r="N87" s="28"/>
    </x:row>
    <x:row r="88">
      <x:c r="C88" s="28"/>
      <x:c r="D88" s="28"/>
      <x:c r="E88" s="28"/>
      <x:c r="F88" s="28"/>
      <x:c r="G88" s="28"/>
      <x:c r="H88" s="28"/>
      <x:c r="I88" s="28"/>
      <x:c r="J88" s="28"/>
      <x:c r="N88" s="28"/>
    </x:row>
    <x:row r="89">
      <x:c r="C89" s="28"/>
      <x:c r="D89" s="28"/>
      <x:c r="E89" s="28"/>
      <x:c r="F89" s="28"/>
      <x:c r="G89" s="28"/>
      <x:c r="H89" s="28"/>
      <x:c r="I89" s="28"/>
      <x:c r="J89" s="28"/>
      <x:c r="N89" s="28"/>
    </x:row>
    <x:row r="90">
      <x:c r="C90" s="28"/>
      <x:c r="D90" s="28"/>
      <x:c r="E90" s="28"/>
      <x:c r="F90" s="28"/>
      <x:c r="G90" s="28"/>
      <x:c r="H90" s="28"/>
      <x:c r="I90" s="28"/>
      <x:c r="J90" s="28"/>
      <x:c r="N90" s="28"/>
    </x:row>
    <x:row r="91">
      <x:c r="C91" s="28"/>
      <x:c r="D91" s="28"/>
      <x:c r="E91" s="28"/>
      <x:c r="F91" s="28"/>
      <x:c r="G91" s="28"/>
      <x:c r="H91" s="28"/>
      <x:c r="I91" s="28"/>
      <x:c r="J91" s="28"/>
      <x:c r="N91" s="28"/>
    </x:row>
    <x:row r="92">
      <x:c r="C92" s="28"/>
      <x:c r="D92" s="28"/>
      <x:c r="E92" s="28"/>
      <x:c r="F92" s="28"/>
      <x:c r="G92" s="28"/>
      <x:c r="H92" s="28"/>
      <x:c r="I92" s="28"/>
      <x:c r="J92" s="28"/>
      <x:c r="N92" s="28"/>
    </x:row>
    <x:row r="93">
      <x:c r="C93" s="28"/>
      <x:c r="D93" s="28"/>
      <x:c r="E93" s="28"/>
      <x:c r="F93" s="28"/>
      <x:c r="G93" s="28"/>
      <x:c r="H93" s="28"/>
      <x:c r="I93" s="28"/>
      <x:c r="J93" s="28"/>
      <x:c r="N93" s="28"/>
    </x:row>
    <x:row r="94">
      <x:c r="C94" s="28"/>
      <x:c r="D94" s="28"/>
      <x:c r="E94" s="28"/>
      <x:c r="F94" s="28"/>
      <x:c r="G94" s="28"/>
      <x:c r="H94" s="28"/>
      <x:c r="I94" s="28"/>
      <x:c r="J94" s="28"/>
      <x:c r="N94" s="28"/>
    </x:row>
    <x:row r="95">
      <x:c r="C95" s="28"/>
      <x:c r="D95" s="28"/>
      <x:c r="E95" s="28"/>
      <x:c r="F95" s="28"/>
      <x:c r="G95" s="28"/>
      <x:c r="H95" s="28"/>
      <x:c r="I95" s="28"/>
      <x:c r="J95" s="28"/>
      <x:c r="N95" s="28"/>
    </x:row>
    <x:row r="96">
      <x:c r="C96" s="28"/>
      <x:c r="D96" s="28"/>
      <x:c r="E96" s="28"/>
      <x:c r="F96" s="28"/>
      <x:c r="G96" s="28"/>
      <x:c r="H96" s="28"/>
      <x:c r="I96" s="28"/>
      <x:c r="J96" s="28"/>
      <x:c r="N96" s="28"/>
    </x:row>
    <x:row r="97">
      <x:c r="C97" s="28"/>
      <x:c r="D97" s="28"/>
      <x:c r="E97" s="28"/>
      <x:c r="F97" s="28"/>
      <x:c r="G97" s="28"/>
      <x:c r="H97" s="28"/>
      <x:c r="I97" s="28"/>
      <x:c r="J97" s="28"/>
      <x:c r="N97" s="28"/>
    </x:row>
    <x:row r="98">
      <x:c r="C98" s="28"/>
      <x:c r="D98" s="28"/>
      <x:c r="E98" s="28"/>
      <x:c r="F98" s="28"/>
      <x:c r="G98" s="28"/>
      <x:c r="H98" s="28"/>
      <x:c r="I98" s="28"/>
      <x:c r="J98" s="28"/>
      <x:c r="N98" s="28"/>
    </x:row>
    <x:row r="99">
      <x:c r="C99" s="28"/>
      <x:c r="D99" s="28"/>
      <x:c r="E99" s="28"/>
      <x:c r="F99" s="28"/>
      <x:c r="G99" s="28"/>
      <x:c r="H99" s="28"/>
      <x:c r="I99" s="28"/>
      <x:c r="J99" s="28"/>
      <x:c r="N99" s="28"/>
    </x:row>
    <x:row r="100">
      <x:c r="C100" s="28"/>
      <x:c r="D100" s="28"/>
      <x:c r="E100" s="28"/>
      <x:c r="F100" s="28"/>
      <x:c r="G100" s="28"/>
      <x:c r="H100" s="28"/>
      <x:c r="I100" s="28"/>
      <x:c r="J100" s="28"/>
      <x:c r="N100" s="28"/>
    </x:row>
  </x:sheetData>
  <x:mergeCells>
    <x:mergeCell ref="A1:N2"/>
  </x:mergeCells>
  <x:conditionalFormatting sqref="M5:M100">
    <x:cfRule type="expression" dxfId="0" priority="1">
      <x:formula>M5="Completed"</x:formula>
    </x:cfRule>
    <x:cfRule type="expression" dxfId="1" priority="2">
      <x:formula>M5="In Progress"</x:formula>
    </x:cfRule>
  </x:conditionalFormatting>
  <x:dataValidations count="3">
    <x:dataValidation type="list" sqref="G5:G100">
      <x:formula1>"Beginner,Intermediate,Advanced"</x:formula1>
    </x:dataValidation>
    <x:dataValidation type="list" sqref="L5:L100">
      <x:formula1>"Low,Medium,High,Critical"</x:formula1>
    </x:dataValidation>
    <x:dataValidation type="list" sqref="M5:M100">
      <x:formula1>"Draft,Ready,Assigned,In Progress,Completed,Archived"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fcb5807cb644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48" hidden="0" customWidth="1"/>
    <x:col min="5" max="5" width="16" hidden="0" customWidth="1"/>
    <x:col min="6" max="6" width="22" hidden="0" customWidth="1"/>
    <x:col min="7" max="7" width="32" hidden="0" customWidth="1"/>
    <x:col min="8" max="8" width="40" hidden="0" customWidth="1"/>
    <x:col min="9" max="9" width="14" hidden="0" customWidth="1"/>
    <x:col min="10" max="10" width="10" hidden="0" customWidth="1"/>
    <x:col min="11" max="11" width="14" hidden="0" customWidth="1"/>
  </x:cols>
  <x:sheetData>
    <x:row r="1" ht="30" customHeight="1">
      <x:c r="A1" s="5" t="str">
        <x:v>Departmental Analytical Question Bank</x:v>
      </x:c>
    </x:row>
    <x:row r="4">
      <x:c r="A4" s="14" t="str">
        <x:v>Question ID</x:v>
      </x:c>
      <x:c r="B4" s="14" t="str">
        <x:v>Case ID</x:v>
      </x:c>
      <x:c r="C4" s="14" t="str">
        <x:v>Department</x:v>
      </x:c>
      <x:c r="D4" s="14" t="str">
        <x:v>Business Question</x:v>
      </x:c>
      <x:c r="E4" s="14" t="str">
        <x:v>Question Type</x:v>
      </x:c>
      <x:c r="F4" s="14" t="str">
        <x:v>Recommended Tool</x:v>
      </x:c>
      <x:c r="G4" s="14" t="str">
        <x:v>Required Calculation / Technique</x:v>
      </x:c>
      <x:c r="H4" s="14" t="str">
        <x:v>Expected Evidence</x:v>
      </x:c>
      <x:c r="I4" s="14" t="str">
        <x:v>Difficulty</x:v>
      </x:c>
      <x:c r="J4" s="14" t="str">
        <x:v>Marks</x:v>
      </x:c>
      <x:c r="K4" s="14" t="str">
        <x:v>Status</x:v>
      </x:c>
    </x:row>
    <x:row r="5">
      <x:c r="A5" t="str">
        <x:v>Q-001</x:v>
      </x:c>
      <x:c r="B5" t="str">
        <x:v>CASE-001</x:v>
      </x:c>
      <x:c r="C5" t="str">
        <x:v>Executive Management</x:v>
      </x:c>
      <x:c r="D5" s="28" t="str">
        <x:v>Which branch generated the highest completed sales revenue?</x:v>
      </x:c>
      <x:c r="E5" s="28" t="str">
        <x:v>Descriptive</x:v>
      </x:c>
      <x:c r="F5" s="28" t="str">
        <x:v>Power BI</x:v>
      </x:c>
      <x:c r="G5" s="28" t="str">
        <x:v>SUM and ranking</x:v>
      </x:c>
      <x:c r="H5" s="28" t="str">
        <x:v>Query/formula, result extract, validation check, finding, recommendation</x:v>
      </x:c>
      <x:c r="I5" t="str">
        <x:v>Intermediate</x:v>
      </x:c>
      <x:c r="J5" t="n">
        <x:v>5</x:v>
      </x:c>
      <x:c r="K5" t="str">
        <x:v>Ready</x:v>
      </x:c>
    </x:row>
    <x:row r="6">
      <x:c r="A6" t="str">
        <x:v>Q-002</x:v>
      </x:c>
      <x:c r="B6" t="str">
        <x:v>CASE-001</x:v>
      </x:c>
      <x:c r="C6" t="str">
        <x:v>Executive Management</x:v>
      </x:c>
      <x:c r="D6" s="28" t="str">
        <x:v>Which branch had the highest gross margin percentage?</x:v>
      </x:c>
      <x:c r="E6" s="28" t="str">
        <x:v>Diagnostic</x:v>
      </x:c>
      <x:c r="F6" s="28" t="str">
        <x:v>Power BI</x:v>
      </x:c>
      <x:c r="G6" s="28" t="str">
        <x:v>Gross Profit / Sales</x:v>
      </x:c>
      <x:c r="H6" s="28" t="str">
        <x:v>Query/formula, result extract, validation check, finding, recommendation</x:v>
      </x:c>
      <x:c r="I6" t="str">
        <x:v>Intermediate</x:v>
      </x:c>
      <x:c r="J6" t="n">
        <x:v>5</x:v>
      </x:c>
      <x:c r="K6" t="str">
        <x:v>Ready</x:v>
      </x:c>
    </x:row>
    <x:row r="7">
      <x:c r="A7" t="str">
        <x:v>Q-003</x:v>
      </x:c>
      <x:c r="B7" t="str">
        <x:v>CASE-001</x:v>
      </x:c>
      <x:c r="C7" t="str">
        <x:v>Executive Management</x:v>
      </x:c>
      <x:c r="D7" s="28" t="str">
        <x:v>Which branch requires immediate management attention and why?</x:v>
      </x:c>
      <x:c r="E7" s="28" t="str">
        <x:v>Prescriptive</x:v>
      </x:c>
      <x:c r="F7" s="28" t="str">
        <x:v>Power BI / AI</x:v>
      </x:c>
      <x:c r="G7" s="28" t="str">
        <x:v>Multi-KPI interpretation</x:v>
      </x:c>
      <x:c r="H7" s="28" t="str">
        <x:v>Query/formula, result extract, validation check, finding, recommendation</x:v>
      </x:c>
      <x:c r="I7" t="str">
        <x:v>Intermediate</x:v>
      </x:c>
      <x:c r="J7" t="n">
        <x:v>5</x:v>
      </x:c>
      <x:c r="K7" t="str">
        <x:v>Ready</x:v>
      </x:c>
    </x:row>
    <x:row r="8">
      <x:c r="A8" t="str">
        <x:v>Q-004</x:v>
      </x:c>
      <x:c r="B8" t="str">
        <x:v>CASE-002</x:v>
      </x:c>
      <x:c r="C8" t="str">
        <x:v>Executive Management</x:v>
      </x:c>
      <x:c r="D8" s="28" t="str">
        <x:v>What changed in revenue, profit, expenses, complaints, and stock risk during the quarter?</x:v>
      </x:c>
      <x:c r="E8" s="28" t="str">
        <x:v>Descriptive</x:v>
      </x:c>
      <x:c r="F8" s="28" t="str">
        <x:v>Excel / Power BI</x:v>
      </x:c>
      <x:c r="G8" s="28" t="str">
        <x:v>Period comparison</x:v>
      </x:c>
      <x:c r="H8" s="28" t="str">
        <x:v>Query/formula, result extract, validation check, finding, recommendation</x:v>
      </x:c>
      <x:c r="I8" t="str">
        <x:v>Intermediate</x:v>
      </x:c>
      <x:c r="J8" t="n">
        <x:v>5</x:v>
      </x:c>
      <x:c r="K8" t="str">
        <x:v>Ready</x:v>
      </x:c>
    </x:row>
    <x:row r="9">
      <x:c r="A9" t="str">
        <x:v>Q-005</x:v>
      </x:c>
      <x:c r="B9" t="str">
        <x:v>CASE-002</x:v>
      </x:c>
      <x:c r="C9" t="str">
        <x:v>Executive Management</x:v>
      </x:c>
      <x:c r="D9" s="28" t="str">
        <x:v>Which three issues create the greatest management risk?</x:v>
      </x:c>
      <x:c r="E9" s="28" t="str">
        <x:v>Diagnostic</x:v>
      </x:c>
      <x:c r="F9" s="28" t="str">
        <x:v>Power BI / AI</x:v>
      </x:c>
      <x:c r="G9" s="28" t="str">
        <x:v>Risk prioritization</x:v>
      </x:c>
      <x:c r="H9" s="28" t="str">
        <x:v>Query/formula, result extract, validation check, finding, recommendation</x:v>
      </x:c>
      <x:c r="I9" t="str">
        <x:v>Intermediate</x:v>
      </x:c>
      <x:c r="J9" t="n">
        <x:v>5</x:v>
      </x:c>
      <x:c r="K9" t="str">
        <x:v>Ready</x:v>
      </x:c>
    </x:row>
    <x:row r="10">
      <x:c r="A10" t="str">
        <x:v>Q-006</x:v>
      </x:c>
      <x:c r="B10" t="str">
        <x:v>CASE-002</x:v>
      </x:c>
      <x:c r="C10" t="str">
        <x:v>Executive Management</x:v>
      </x:c>
      <x:c r="D10" s="28" t="str">
        <x:v>What actions should be included in the next-quarter plan?</x:v>
      </x:c>
      <x:c r="E10" s="28" t="str">
        <x:v>Prescriptive</x:v>
      </x:c>
      <x:c r="F10" s="28" t="str">
        <x:v>AI-assisted reporting</x:v>
      </x:c>
      <x:c r="G10" s="28" t="str">
        <x:v>Validated recommendations</x:v>
      </x:c>
      <x:c r="H10" s="28" t="str">
        <x:v>Query/formula, result extract, validation check, finding, recommendation</x:v>
      </x:c>
      <x:c r="I10" t="str">
        <x:v>Intermediate</x:v>
      </x:c>
      <x:c r="J10" t="n">
        <x:v>5</x:v>
      </x:c>
      <x:c r="K10" t="str">
        <x:v>Ready</x:v>
      </x:c>
    </x:row>
    <x:row r="11">
      <x:c r="A11" t="str">
        <x:v>Q-007</x:v>
      </x:c>
      <x:c r="B11" t="str">
        <x:v>CASE-003</x:v>
      </x:c>
      <x:c r="C11" t="str">
        <x:v>Sales</x:v>
      </x:c>
      <x:c r="D11" s="28" t="str">
        <x:v>Which branches experienced the largest sales decline?</x:v>
      </x:c>
      <x:c r="E11" s="28" t="str">
        <x:v>Diagnostic</x:v>
      </x:c>
      <x:c r="F11" s="28" t="str">
        <x:v>SQL / Power BI</x:v>
      </x:c>
      <x:c r="G11" s="28" t="str">
        <x:v>Current versus prior period</x:v>
      </x:c>
      <x:c r="H11" s="28" t="str">
        <x:v>Query/formula, result extract, validation check, finding, recommendation</x:v>
      </x:c>
      <x:c r="I11" t="str">
        <x:v>Intermediate</x:v>
      </x:c>
      <x:c r="J11" t="n">
        <x:v>5</x:v>
      </x:c>
      <x:c r="K11" t="str">
        <x:v>Ready</x:v>
      </x:c>
    </x:row>
    <x:row r="12">
      <x:c r="A12" t="str">
        <x:v>Q-008</x:v>
      </x:c>
      <x:c r="B12" t="str">
        <x:v>CASE-003</x:v>
      </x:c>
      <x:c r="C12" t="str">
        <x:v>Sales</x:v>
      </x:c>
      <x:c r="D12" s="28" t="str">
        <x:v>Which products and channels explain the decline?</x:v>
      </x:c>
      <x:c r="E12" s="28" t="str">
        <x:v>Diagnostic</x:v>
      </x:c>
      <x:c r="F12" s="28" t="str">
        <x:v>SQL</x:v>
      </x:c>
      <x:c r="G12" s="28" t="str">
        <x:v>GROUP BY and joins</x:v>
      </x:c>
      <x:c r="H12" s="28" t="str">
        <x:v>Query/formula, result extract, validation check, finding, recommendation</x:v>
      </x:c>
      <x:c r="I12" t="str">
        <x:v>Intermediate</x:v>
      </x:c>
      <x:c r="J12" t="n">
        <x:v>5</x:v>
      </x:c>
      <x:c r="K12" t="str">
        <x:v>Ready</x:v>
      </x:c>
    </x:row>
    <x:row r="13">
      <x:c r="A13" t="str">
        <x:v>Q-009</x:v>
      </x:c>
      <x:c r="B13" t="str">
        <x:v>CASE-003</x:v>
      </x:c>
      <x:c r="C13" t="str">
        <x:v>Sales</x:v>
      </x:c>
      <x:c r="D13" s="28" t="str">
        <x:v>What recovery actions should sales management prioritize?</x:v>
      </x:c>
      <x:c r="E13" s="28" t="str">
        <x:v>Prescriptive</x:v>
      </x:c>
      <x:c r="F13" s="28" t="str">
        <x:v>Power BI / AI</x:v>
      </x:c>
      <x:c r="G13" s="28" t="str">
        <x:v>Evidence-based recommendations</x:v>
      </x:c>
      <x:c r="H13" s="28" t="str">
        <x:v>Query/formula, result extract, validation check, finding, recommendation</x:v>
      </x:c>
      <x:c r="I13" t="str">
        <x:v>Intermediate</x:v>
      </x:c>
      <x:c r="J13" t="n">
        <x:v>5</x:v>
      </x:c>
      <x:c r="K13" t="str">
        <x:v>Ready</x:v>
      </x:c>
    </x:row>
    <x:row r="14">
      <x:c r="A14" t="str">
        <x:v>Q-010</x:v>
      </x:c>
      <x:c r="B14" t="str">
        <x:v>CASE-004</x:v>
      </x:c>
      <x:c r="C14" t="str">
        <x:v>Sales</x:v>
      </x:c>
      <x:c r="D14" s="28" t="str">
        <x:v>Which sales representatives met or exceeded target?</x:v>
      </x:c>
      <x:c r="E14" s="28" t="str">
        <x:v>Descriptive</x:v>
      </x:c>
      <x:c r="F14" s="28" t="str">
        <x:v>SQL</x:v>
      </x:c>
      <x:c r="G14" s="28" t="str">
        <x:v>Actual versus target</x:v>
      </x:c>
      <x:c r="H14" s="28" t="str">
        <x:v>Query/formula, result extract, validation check, finding, recommendation</x:v>
      </x:c>
      <x:c r="I14" t="str">
        <x:v>Beginner</x:v>
      </x:c>
      <x:c r="J14" t="n">
        <x:v>5</x:v>
      </x:c>
      <x:c r="K14" t="str">
        <x:v>Ready</x:v>
      </x:c>
    </x:row>
    <x:row r="15">
      <x:c r="A15" t="str">
        <x:v>Q-011</x:v>
      </x:c>
      <x:c r="B15" t="str">
        <x:v>CASE-004</x:v>
      </x:c>
      <x:c r="C15" t="str">
        <x:v>Sales</x:v>
      </x:c>
      <x:c r="D15" s="28" t="str">
        <x:v>Which employees have high revenue but low customer acquisition?</x:v>
      </x:c>
      <x:c r="E15" s="28" t="str">
        <x:v>Diagnostic</x:v>
      </x:c>
      <x:c r="F15" s="28" t="str">
        <x:v>Power BI</x:v>
      </x:c>
      <x:c r="G15" s="28" t="str">
        <x:v>Multi-measure comparison</x:v>
      </x:c>
      <x:c r="H15" s="28" t="str">
        <x:v>Query/formula, result extract, validation check, finding, recommendation</x:v>
      </x:c>
      <x:c r="I15" t="str">
        <x:v>Beginner</x:v>
      </x:c>
      <x:c r="J15" t="n">
        <x:v>5</x:v>
      </x:c>
      <x:c r="K15" t="str">
        <x:v>Ready</x:v>
      </x:c>
    </x:row>
    <x:row r="16">
      <x:c r="A16" t="str">
        <x:v>Q-012</x:v>
      </x:c>
      <x:c r="B16" t="str">
        <x:v>CASE-004</x:v>
      </x:c>
      <x:c r="C16" t="str">
        <x:v>Sales</x:v>
      </x:c>
      <x:c r="D16" s="28" t="str">
        <x:v>Which employees require coaching or revised targets?</x:v>
      </x:c>
      <x:c r="E16" s="28" t="str">
        <x:v>Prescriptive</x:v>
      </x:c>
      <x:c r="F16" s="28" t="str">
        <x:v>Power BI</x:v>
      </x:c>
      <x:c r="G16" s="28" t="str">
        <x:v>Performance classification</x:v>
      </x:c>
      <x:c r="H16" s="28" t="str">
        <x:v>Query/formula, result extract, validation check, finding, recommendation</x:v>
      </x:c>
      <x:c r="I16" t="str">
        <x:v>Beginner</x:v>
      </x:c>
      <x:c r="J16" t="n">
        <x:v>5</x:v>
      </x:c>
      <x:c r="K16" t="str">
        <x:v>Ready</x:v>
      </x:c>
    </x:row>
    <x:row r="17">
      <x:c r="A17" t="str">
        <x:v>Q-013</x:v>
      </x:c>
      <x:c r="B17" t="str">
        <x:v>CASE-005</x:v>
      </x:c>
      <x:c r="C17" t="str">
        <x:v>Finance</x:v>
      </x:c>
      <x:c r="D17" s="28" t="str">
        <x:v>Which departments exceeded approved budgets?</x:v>
      </x:c>
      <x:c r="E17" s="28" t="str">
        <x:v>Descriptive</x:v>
      </x:c>
      <x:c r="F17" s="28" t="str">
        <x:v>SQL / Power BI</x:v>
      </x:c>
      <x:c r="G17" s="28" t="str">
        <x:v>Budget minus expenses</x:v>
      </x:c>
      <x:c r="H17" s="28" t="str">
        <x:v>Query/formula, result extract, validation check, finding, recommendation</x:v>
      </x:c>
      <x:c r="I17" t="str">
        <x:v>Intermediate</x:v>
      </x:c>
      <x:c r="J17" t="n">
        <x:v>5</x:v>
      </x:c>
      <x:c r="K17" t="str">
        <x:v>Ready</x:v>
      </x:c>
    </x:row>
    <x:row r="18">
      <x:c r="A18" t="str">
        <x:v>Q-014</x:v>
      </x:c>
      <x:c r="B18" t="str">
        <x:v>CASE-005</x:v>
      </x:c>
      <x:c r="C18" t="str">
        <x:v>Finance</x:v>
      </x:c>
      <x:c r="D18" s="28" t="str">
        <x:v>Which expense categories explain the overspending?</x:v>
      </x:c>
      <x:c r="E18" s="28" t="str">
        <x:v>Diagnostic</x:v>
      </x:c>
      <x:c r="F18" s="28" t="str">
        <x:v>SQL</x:v>
      </x:c>
      <x:c r="G18" s="28" t="str">
        <x:v>Grouped variance</x:v>
      </x:c>
      <x:c r="H18" s="28" t="str">
        <x:v>Query/formula, result extract, validation check, finding, recommendation</x:v>
      </x:c>
      <x:c r="I18" t="str">
        <x:v>Intermediate</x:v>
      </x:c>
      <x:c r="J18" t="n">
        <x:v>5</x:v>
      </x:c>
      <x:c r="K18" t="str">
        <x:v>Ready</x:v>
      </x:c>
    </x:row>
    <x:row r="19">
      <x:c r="A19" t="str">
        <x:v>Q-015</x:v>
      </x:c>
      <x:c r="B19" t="str">
        <x:v>CASE-005</x:v>
      </x:c>
      <x:c r="C19" t="str">
        <x:v>Finance</x:v>
      </x:c>
      <x:c r="D19" s="28" t="str">
        <x:v>What cost-control actions should be introduced?</x:v>
      </x:c>
      <x:c r="E19" s="28" t="str">
        <x:v>Prescriptive</x:v>
      </x:c>
      <x:c r="F19" s="28" t="str">
        <x:v>Power BI / AI</x:v>
      </x:c>
      <x:c r="G19" s="28" t="str">
        <x:v>Priority recommendations</x:v>
      </x:c>
      <x:c r="H19" s="28" t="str">
        <x:v>Query/formula, result extract, validation check, finding, recommendation</x:v>
      </x:c>
      <x:c r="I19" t="str">
        <x:v>Intermediate</x:v>
      </x:c>
      <x:c r="J19" t="n">
        <x:v>5</x:v>
      </x:c>
      <x:c r="K19" t="str">
        <x:v>Ready</x:v>
      </x:c>
    </x:row>
    <x:row r="20">
      <x:c r="A20" t="str">
        <x:v>Q-016</x:v>
      </x:c>
      <x:c r="B20" t="str">
        <x:v>CASE-006</x:v>
      </x:c>
      <x:c r="C20" t="str">
        <x:v>Finance</x:v>
      </x:c>
      <x:c r="D20" s="28" t="str">
        <x:v>What is the total outstanding customer balance?</x:v>
      </x:c>
      <x:c r="E20" s="28" t="str">
        <x:v>Descriptive</x:v>
      </x:c>
      <x:c r="F20" s="28" t="str">
        <x:v>SQL</x:v>
      </x:c>
      <x:c r="G20" s="28" t="str">
        <x:v>Orders minus payments</x:v>
      </x:c>
      <x:c r="H20" s="28" t="str">
        <x:v>Query/formula, result extract, validation check, finding, recommendation</x:v>
      </x:c>
      <x:c r="I20" t="str">
        <x:v>Intermediate</x:v>
      </x:c>
      <x:c r="J20" t="n">
        <x:v>5</x:v>
      </x:c>
      <x:c r="K20" t="str">
        <x:v>Ready</x:v>
      </x:c>
    </x:row>
    <x:row r="21">
      <x:c r="A21" t="str">
        <x:v>Q-017</x:v>
      </x:c>
      <x:c r="B21" t="str">
        <x:v>CASE-006</x:v>
      </x:c>
      <x:c r="C21" t="str">
        <x:v>Finance</x:v>
      </x:c>
      <x:c r="D21" s="28" t="str">
        <x:v>Which customers have the highest unpaid balances?</x:v>
      </x:c>
      <x:c r="E21" s="28" t="str">
        <x:v>Diagnostic</x:v>
      </x:c>
      <x:c r="F21" s="28" t="str">
        <x:v>SQL</x:v>
      </x:c>
      <x:c r="G21" s="28" t="str">
        <x:v>Customer aggregation</x:v>
      </x:c>
      <x:c r="H21" s="28" t="str">
        <x:v>Query/formula, result extract, validation check, finding, recommendation</x:v>
      </x:c>
      <x:c r="I21" t="str">
        <x:v>Intermediate</x:v>
      </x:c>
      <x:c r="J21" t="n">
        <x:v>5</x:v>
      </x:c>
      <x:c r="K21" t="str">
        <x:v>Ready</x:v>
      </x:c>
    </x:row>
    <x:row r="22">
      <x:c r="A22" t="str">
        <x:v>Q-018</x:v>
      </x:c>
      <x:c r="B22" t="str">
        <x:v>CASE-006</x:v>
      </x:c>
      <x:c r="C22" t="str">
        <x:v>Finance</x:v>
      </x:c>
      <x:c r="D22" s="28" t="str">
        <x:v>Which accounts should finance prioritize for collection?</x:v>
      </x:c>
      <x:c r="E22" s="28" t="str">
        <x:v>Prescriptive</x:v>
      </x:c>
      <x:c r="F22" s="28" t="str">
        <x:v>SQL / Excel</x:v>
      </x:c>
      <x:c r="G22" s="28" t="str">
        <x:v>Risk ranking</x:v>
      </x:c>
      <x:c r="H22" s="28" t="str">
        <x:v>Query/formula, result extract, validation check, finding, recommendation</x:v>
      </x:c>
      <x:c r="I22" t="str">
        <x:v>Intermediate</x:v>
      </x:c>
      <x:c r="J22" t="n">
        <x:v>5</x:v>
      </x:c>
      <x:c r="K22" t="str">
        <x:v>Ready</x:v>
      </x:c>
    </x:row>
    <x:row r="23">
      <x:c r="A23" t="str">
        <x:v>Q-019</x:v>
      </x:c>
      <x:c r="B23" t="str">
        <x:v>CASE-007</x:v>
      </x:c>
      <x:c r="C23" t="str">
        <x:v>Human Resources</x:v>
      </x:c>
      <x:c r="D23" s="28" t="str">
        <x:v>What are the attendance and lateness rates by branch?</x:v>
      </x:c>
      <x:c r="E23" s="28" t="str">
        <x:v>Descriptive</x:v>
      </x:c>
      <x:c r="F23" s="28" t="str">
        <x:v>Excel / SQL</x:v>
      </x:c>
      <x:c r="G23" s="28" t="str">
        <x:v>COUNTIFS / GROUP BY</x:v>
      </x:c>
      <x:c r="H23" s="28" t="str">
        <x:v>Query/formula, result extract, validation check, finding, recommendation</x:v>
      </x:c>
      <x:c r="I23" t="str">
        <x:v>Beginner</x:v>
      </x:c>
      <x:c r="J23" t="n">
        <x:v>5</x:v>
      </x:c>
      <x:c r="K23" t="str">
        <x:v>Ready</x:v>
      </x:c>
    </x:row>
    <x:row r="24">
      <x:c r="A24" t="str">
        <x:v>Q-020</x:v>
      </x:c>
      <x:c r="B24" t="str">
        <x:v>CASE-007</x:v>
      </x:c>
      <x:c r="C24" t="str">
        <x:v>Human Resources</x:v>
      </x:c>
      <x:c r="D24" s="28" t="str">
        <x:v>Which employees show repeated attendance problems?</x:v>
      </x:c>
      <x:c r="E24" s="28" t="str">
        <x:v>Diagnostic</x:v>
      </x:c>
      <x:c r="F24" s="28" t="str">
        <x:v>SQL</x:v>
      </x:c>
      <x:c r="G24" s="28" t="str">
        <x:v>Employee pattern analysis</x:v>
      </x:c>
      <x:c r="H24" s="28" t="str">
        <x:v>Query/formula, result extract, validation check, finding, recommendation</x:v>
      </x:c>
      <x:c r="I24" t="str">
        <x:v>Beginner</x:v>
      </x:c>
      <x:c r="J24" t="n">
        <x:v>5</x:v>
      </x:c>
      <x:c r="K24" t="str">
        <x:v>Ready</x:v>
      </x:c>
    </x:row>
    <x:row r="25">
      <x:c r="A25" t="str">
        <x:v>Q-021</x:v>
      </x:c>
      <x:c r="B25" t="str">
        <x:v>CASE-007</x:v>
      </x:c>
      <x:c r="C25" t="str">
        <x:v>Human Resources</x:v>
      </x:c>
      <x:c r="D25" s="28" t="str">
        <x:v>What HR interventions are recommended?</x:v>
      </x:c>
      <x:c r="E25" s="28" t="str">
        <x:v>Prescriptive</x:v>
      </x:c>
      <x:c r="F25" s="28" t="str">
        <x:v>Excel / AI</x:v>
      </x:c>
      <x:c r="G25" s="28" t="str">
        <x:v>Action classification</x:v>
      </x:c>
      <x:c r="H25" s="28" t="str">
        <x:v>Query/formula, result extract, validation check, finding, recommendation</x:v>
      </x:c>
      <x:c r="I25" t="str">
        <x:v>Beginner</x:v>
      </x:c>
      <x:c r="J25" t="n">
        <x:v>5</x:v>
      </x:c>
      <x:c r="K25" t="str">
        <x:v>Ready</x:v>
      </x:c>
    </x:row>
    <x:row r="26">
      <x:c r="A26" t="str">
        <x:v>Q-022</x:v>
      </x:c>
      <x:c r="B26" t="str">
        <x:v>CASE-008</x:v>
      </x:c>
      <x:c r="C26" t="str">
        <x:v>Human Resources</x:v>
      </x:c>
      <x:c r="D26" s="28" t="str">
        <x:v>What is total payroll by department and branch?</x:v>
      </x:c>
      <x:c r="E26" s="28" t="str">
        <x:v>Descriptive</x:v>
      </x:c>
      <x:c r="F26" s="28" t="str">
        <x:v>Excel / Power BI</x:v>
      </x:c>
      <x:c r="G26" s="28" t="str">
        <x:v>SUMIFS</x:v>
      </x:c>
      <x:c r="H26" s="28" t="str">
        <x:v>Query/formula, result extract, validation check, finding, recommendation</x:v>
      </x:c>
      <x:c r="I26" t="str">
        <x:v>Beginner</x:v>
      </x:c>
      <x:c r="J26" t="n">
        <x:v>5</x:v>
      </x:c>
      <x:c r="K26" t="str">
        <x:v>Ready</x:v>
      </x:c>
    </x:row>
    <x:row r="27">
      <x:c r="A27" t="str">
        <x:v>Q-023</x:v>
      </x:c>
      <x:c r="B27" t="str">
        <x:v>CASE-008</x:v>
      </x:c>
      <x:c r="C27" t="str">
        <x:v>Human Resources</x:v>
      </x:c>
      <x:c r="D27" s="28" t="str">
        <x:v>How is salary distributed across job levels?</x:v>
      </x:c>
      <x:c r="E27" s="28" t="str">
        <x:v>Descriptive</x:v>
      </x:c>
      <x:c r="F27" s="28" t="str">
        <x:v>Power BI</x:v>
      </x:c>
      <x:c r="G27" s="28" t="str">
        <x:v>Distribution analysis</x:v>
      </x:c>
      <x:c r="H27" s="28" t="str">
        <x:v>Query/formula, result extract, validation check, finding, recommendation</x:v>
      </x:c>
      <x:c r="I27" t="str">
        <x:v>Beginner</x:v>
      </x:c>
      <x:c r="J27" t="n">
        <x:v>5</x:v>
      </x:c>
      <x:c r="K27" t="str">
        <x:v>Ready</x:v>
      </x:c>
    </x:row>
    <x:row r="28">
      <x:c r="A28" t="str">
        <x:v>Q-024</x:v>
      </x:c>
      <x:c r="B28" t="str">
        <x:v>CASE-008</x:v>
      </x:c>
      <x:c r="C28" t="str">
        <x:v>Human Resources</x:v>
      </x:c>
      <x:c r="D28" s="28" t="str">
        <x:v>Where are payroll costs increasing fastest?</x:v>
      </x:c>
      <x:c r="E28" s="28" t="str">
        <x:v>Diagnostic</x:v>
      </x:c>
      <x:c r="F28" s="28" t="str">
        <x:v>Power BI</x:v>
      </x:c>
      <x:c r="G28" s="28" t="str">
        <x:v>Trend analysis</x:v>
      </x:c>
      <x:c r="H28" s="28" t="str">
        <x:v>Query/formula, result extract, validation check, finding, recommendation</x:v>
      </x:c>
      <x:c r="I28" t="str">
        <x:v>Beginner</x:v>
      </x:c>
      <x:c r="J28" t="n">
        <x:v>5</x:v>
      </x:c>
      <x:c r="K28" t="str">
        <x:v>Ready</x:v>
      </x:c>
    </x:row>
    <x:row r="29">
      <x:c r="A29" t="str">
        <x:v>Q-025</x:v>
      </x:c>
      <x:c r="B29" t="str">
        <x:v>CASE-009</x:v>
      </x:c>
      <x:c r="C29" t="str">
        <x:v>Inventory</x:v>
      </x:c>
      <x:c r="D29" s="28" t="str">
        <x:v>Which products are at or below reorder level?</x:v>
      </x:c>
      <x:c r="E29" s="28" t="str">
        <x:v>Descriptive</x:v>
      </x:c>
      <x:c r="F29" s="28" t="str">
        <x:v>SQL / Excel</x:v>
      </x:c>
      <x:c r="G29" s="28" t="str">
        <x:v>Available &lt;= Reorder Level</x:v>
      </x:c>
      <x:c r="H29" s="28" t="str">
        <x:v>Query/formula, result extract, validation check, finding, recommendation</x:v>
      </x:c>
      <x:c r="I29" t="str">
        <x:v>Intermediate</x:v>
      </x:c>
      <x:c r="J29" t="n">
        <x:v>5</x:v>
      </x:c>
      <x:c r="K29" t="str">
        <x:v>Ready</x:v>
      </x:c>
    </x:row>
    <x:row r="30">
      <x:c r="A30" t="str">
        <x:v>Q-026</x:v>
      </x:c>
      <x:c r="B30" t="str">
        <x:v>CASE-009</x:v>
      </x:c>
      <x:c r="C30" t="str">
        <x:v>Inventory</x:v>
      </x:c>
      <x:c r="D30" s="28" t="str">
        <x:v>Which branches have the highest stockout exposure?</x:v>
      </x:c>
      <x:c r="E30" s="28" t="str">
        <x:v>Diagnostic</x:v>
      </x:c>
      <x:c r="F30" s="28" t="str">
        <x:v>Power BI</x:v>
      </x:c>
      <x:c r="G30" s="28" t="str">
        <x:v>Risk count and value</x:v>
      </x:c>
      <x:c r="H30" s="28" t="str">
        <x:v>Query/formula, result extract, validation check, finding, recommendation</x:v>
      </x:c>
      <x:c r="I30" t="str">
        <x:v>Intermediate</x:v>
      </x:c>
      <x:c r="J30" t="n">
        <x:v>5</x:v>
      </x:c>
      <x:c r="K30" t="str">
        <x:v>Ready</x:v>
      </x:c>
    </x:row>
    <x:row r="31">
      <x:c r="A31" t="str">
        <x:v>Q-027</x:v>
      </x:c>
      <x:c r="B31" t="str">
        <x:v>CASE-009</x:v>
      </x:c>
      <x:c r="C31" t="str">
        <x:v>Inventory</x:v>
      </x:c>
      <x:c r="D31" s="28" t="str">
        <x:v>What replenishment priorities should be approved?</x:v>
      </x:c>
      <x:c r="E31" s="28" t="str">
        <x:v>Prescriptive</x:v>
      </x:c>
      <x:c r="F31" s="28" t="str">
        <x:v>Excel / Power BI</x:v>
      </x:c>
      <x:c r="G31" s="28" t="str">
        <x:v>Priority ranking</x:v>
      </x:c>
      <x:c r="H31" s="28" t="str">
        <x:v>Query/formula, result extract, validation check, finding, recommendation</x:v>
      </x:c>
      <x:c r="I31" t="str">
        <x:v>Intermediate</x:v>
      </x:c>
      <x:c r="J31" t="n">
        <x:v>5</x:v>
      </x:c>
      <x:c r="K31" t="str">
        <x:v>Ready</x:v>
      </x:c>
    </x:row>
    <x:row r="32">
      <x:c r="A32" t="str">
        <x:v>Q-028</x:v>
      </x:c>
      <x:c r="B32" t="str">
        <x:v>CASE-010</x:v>
      </x:c>
      <x:c r="C32" t="str">
        <x:v>Inventory</x:v>
      </x:c>
      <x:c r="D32" s="28" t="str">
        <x:v>What is the total quantity and value of stock variance?</x:v>
      </x:c>
      <x:c r="E32" s="28" t="str">
        <x:v>Descriptive</x:v>
      </x:c>
      <x:c r="F32" s="28" t="str">
        <x:v>Excel / SQL</x:v>
      </x:c>
      <x:c r="G32" s="28" t="str">
        <x:v>System minus count</x:v>
      </x:c>
      <x:c r="H32" s="28" t="str">
        <x:v>Query/formula, result extract, validation check, finding, recommendation</x:v>
      </x:c>
      <x:c r="I32" t="str">
        <x:v>Intermediate</x:v>
      </x:c>
      <x:c r="J32" t="n">
        <x:v>5</x:v>
      </x:c>
      <x:c r="K32" t="str">
        <x:v>Ready</x:v>
      </x:c>
    </x:row>
    <x:row r="33">
      <x:c r="A33" t="str">
        <x:v>Q-029</x:v>
      </x:c>
      <x:c r="B33" t="str">
        <x:v>CASE-010</x:v>
      </x:c>
      <x:c r="C33" t="str">
        <x:v>Inventory</x:v>
      </x:c>
      <x:c r="D33" s="28" t="str">
        <x:v>Which products and warehouses account for most variance?</x:v>
      </x:c>
      <x:c r="E33" s="28" t="str">
        <x:v>Diagnostic</x:v>
      </x:c>
      <x:c r="F33" s="28" t="str">
        <x:v>SQL</x:v>
      </x:c>
      <x:c r="G33" s="28" t="str">
        <x:v>Pareto analysis</x:v>
      </x:c>
      <x:c r="H33" s="28" t="str">
        <x:v>Query/formula, result extract, validation check, finding, recommendation</x:v>
      </x:c>
      <x:c r="I33" t="str">
        <x:v>Intermediate</x:v>
      </x:c>
      <x:c r="J33" t="n">
        <x:v>5</x:v>
      </x:c>
      <x:c r="K33" t="str">
        <x:v>Ready</x:v>
      </x:c>
    </x:row>
    <x:row r="34">
      <x:c r="A34" t="str">
        <x:v>Q-030</x:v>
      </x:c>
      <x:c r="B34" t="str">
        <x:v>CASE-010</x:v>
      </x:c>
      <x:c r="C34" t="str">
        <x:v>Inventory</x:v>
      </x:c>
      <x:c r="D34" s="28" t="str">
        <x:v>Which control weaknesses should be investigated?</x:v>
      </x:c>
      <x:c r="E34" s="28" t="str">
        <x:v>Prescriptive</x:v>
      </x:c>
      <x:c r="F34" s="28" t="str">
        <x:v>Excel / AI</x:v>
      </x:c>
      <x:c r="G34" s="28" t="str">
        <x:v>Root-cause hypotheses</x:v>
      </x:c>
      <x:c r="H34" s="28" t="str">
        <x:v>Query/formula, result extract, validation check, finding, recommendation</x:v>
      </x:c>
      <x:c r="I34" t="str">
        <x:v>Intermediate</x:v>
      </x:c>
      <x:c r="J34" t="n">
        <x:v>5</x:v>
      </x:c>
      <x:c r="K34" t="str">
        <x:v>Ready</x:v>
      </x:c>
    </x:row>
    <x:row r="35">
      <x:c r="A35" t="str">
        <x:v>Q-031</x:v>
      </x:c>
      <x:c r="B35" t="str">
        <x:v>CASE-011</x:v>
      </x:c>
      <x:c r="C35" t="str">
        <x:v>Procurement</x:v>
      </x:c>
      <x:c r="D35" s="28" t="str">
        <x:v>Which suppliers have the best overall performance scores?</x:v>
      </x:c>
      <x:c r="E35" s="28" t="str">
        <x:v>Descriptive</x:v>
      </x:c>
      <x:c r="F35" s="28" t="str">
        <x:v>Power BI</x:v>
      </x:c>
      <x:c r="G35" s="28" t="str">
        <x:v>Weighted score</x:v>
      </x:c>
      <x:c r="H35" s="28" t="str">
        <x:v>Query/formula, result extract, validation check, finding, recommendation</x:v>
      </x:c>
      <x:c r="I35" t="str">
        <x:v>Intermediate</x:v>
      </x:c>
      <x:c r="J35" t="n">
        <x:v>5</x:v>
      </x:c>
      <x:c r="K35" t="str">
        <x:v>Ready</x:v>
      </x:c>
    </x:row>
    <x:row r="36">
      <x:c r="A36" t="str">
        <x:v>Q-032</x:v>
      </x:c>
      <x:c r="B36" t="str">
        <x:v>CASE-011</x:v>
      </x:c>
      <x:c r="C36" t="str">
        <x:v>Procurement</x:v>
      </x:c>
      <x:c r="D36" s="28" t="str">
        <x:v>Which suppliers deliver late or incomplete orders most often?</x:v>
      </x:c>
      <x:c r="E36" s="28" t="str">
        <x:v>Diagnostic</x:v>
      </x:c>
      <x:c r="F36" s="28" t="str">
        <x:v>SQL</x:v>
      </x:c>
      <x:c r="G36" s="28" t="str">
        <x:v>Delivery and receipt variance</x:v>
      </x:c>
      <x:c r="H36" s="28" t="str">
        <x:v>Query/formula, result extract, validation check, finding, recommendation</x:v>
      </x:c>
      <x:c r="I36" t="str">
        <x:v>Intermediate</x:v>
      </x:c>
      <x:c r="J36" t="n">
        <x:v>5</x:v>
      </x:c>
      <x:c r="K36" t="str">
        <x:v>Ready</x:v>
      </x:c>
    </x:row>
    <x:row r="37">
      <x:c r="A37" t="str">
        <x:v>Q-033</x:v>
      </x:c>
      <x:c r="B37" t="str">
        <x:v>CASE-011</x:v>
      </x:c>
      <x:c r="C37" t="str">
        <x:v>Procurement</x:v>
      </x:c>
      <x:c r="D37" s="28" t="str">
        <x:v>Which suppliers should be retained, improved, or suspended?</x:v>
      </x:c>
      <x:c r="E37" s="28" t="str">
        <x:v>Prescriptive</x:v>
      </x:c>
      <x:c r="F37" s="28" t="str">
        <x:v>Power BI</x:v>
      </x:c>
      <x:c r="G37" s="28" t="str">
        <x:v>Supplier classification</x:v>
      </x:c>
      <x:c r="H37" s="28" t="str">
        <x:v>Query/formula, result extract, validation check, finding, recommendation</x:v>
      </x:c>
      <x:c r="I37" t="str">
        <x:v>Intermediate</x:v>
      </x:c>
      <x:c r="J37" t="n">
        <x:v>5</x:v>
      </x:c>
      <x:c r="K37" t="str">
        <x:v>Ready</x:v>
      </x:c>
    </x:row>
    <x:row r="38">
      <x:c r="A38" t="str">
        <x:v>Q-034</x:v>
      </x:c>
      <x:c r="B38" t="str">
        <x:v>CASE-012</x:v>
      </x:c>
      <x:c r="C38" t="str">
        <x:v>Procurement</x:v>
      </x:c>
      <x:c r="D38" s="28" t="str">
        <x:v>What is total purchase spend by supplier and product?</x:v>
      </x:c>
      <x:c r="E38" s="28" t="str">
        <x:v>Descriptive</x:v>
      </x:c>
      <x:c r="F38" s="28" t="str">
        <x:v>SQL</x:v>
      </x:c>
      <x:c r="G38" s="28" t="str">
        <x:v>SUM and GROUP BY</x:v>
      </x:c>
      <x:c r="H38" s="28" t="str">
        <x:v>Query/formula, result extract, validation check, finding, recommendation</x:v>
      </x:c>
      <x:c r="I38" t="str">
        <x:v>Intermediate</x:v>
      </x:c>
      <x:c r="J38" t="n">
        <x:v>5</x:v>
      </x:c>
      <x:c r="K38" t="str">
        <x:v>Ready</x:v>
      </x:c>
    </x:row>
    <x:row r="39">
      <x:c r="A39" t="str">
        <x:v>Q-035</x:v>
      </x:c>
      <x:c r="B39" t="str">
        <x:v>CASE-012</x:v>
      </x:c>
      <x:c r="C39" t="str">
        <x:v>Procurement</x:v>
      </x:c>
      <x:c r="D39" s="28" t="str">
        <x:v>Which products show significant cost increases?</x:v>
      </x:c>
      <x:c r="E39" s="28" t="str">
        <x:v>Diagnostic</x:v>
      </x:c>
      <x:c r="F39" s="28" t="str">
        <x:v>Power BI</x:v>
      </x:c>
      <x:c r="G39" s="28" t="str">
        <x:v>Price variance</x:v>
      </x:c>
      <x:c r="H39" s="28" t="str">
        <x:v>Query/formula, result extract, validation check, finding, recommendation</x:v>
      </x:c>
      <x:c r="I39" t="str">
        <x:v>Intermediate</x:v>
      </x:c>
      <x:c r="J39" t="n">
        <x:v>5</x:v>
      </x:c>
      <x:c r="K39" t="str">
        <x:v>Ready</x:v>
      </x:c>
    </x:row>
    <x:row r="40">
      <x:c r="A40" t="str">
        <x:v>Q-036</x:v>
      </x:c>
      <x:c r="B40" t="str">
        <x:v>CASE-012</x:v>
      </x:c>
      <x:c r="C40" t="str">
        <x:v>Procurement</x:v>
      </x:c>
      <x:c r="D40" s="28" t="str">
        <x:v>Where can procurement negotiate savings?</x:v>
      </x:c>
      <x:c r="E40" s="28" t="str">
        <x:v>Prescriptive</x:v>
      </x:c>
      <x:c r="F40" s="28" t="str">
        <x:v>Power BI / AI</x:v>
      </x:c>
      <x:c r="G40" s="28" t="str">
        <x:v>Savings opportunities</x:v>
      </x:c>
      <x:c r="H40" s="28" t="str">
        <x:v>Query/formula, result extract, validation check, finding, recommendation</x:v>
      </x:c>
      <x:c r="I40" t="str">
        <x:v>Intermediate</x:v>
      </x:c>
      <x:c r="J40" t="n">
        <x:v>5</x:v>
      </x:c>
      <x:c r="K40" t="str">
        <x:v>Ready</x:v>
      </x:c>
    </x:row>
    <x:row r="41">
      <x:c r="A41" t="str">
        <x:v>Q-037</x:v>
      </x:c>
      <x:c r="B41" t="str">
        <x:v>CASE-013</x:v>
      </x:c>
      <x:c r="C41" t="str">
        <x:v>Logistics</x:v>
      </x:c>
      <x:c r="D41" s="28" t="str">
        <x:v>What is the on-time delivery rate by branch and region?</x:v>
      </x:c>
      <x:c r="E41" s="28" t="str">
        <x:v>Descriptive</x:v>
      </x:c>
      <x:c r="F41" s="28" t="str">
        <x:v>SQL / Power BI</x:v>
      </x:c>
      <x:c r="G41" s="28" t="str">
        <x:v>Actual versus expected date</x:v>
      </x:c>
      <x:c r="H41" s="28" t="str">
        <x:v>Query/formula, result extract, validation check, finding, recommendation</x:v>
      </x:c>
      <x:c r="I41" t="str">
        <x:v>Intermediate</x:v>
      </x:c>
      <x:c r="J41" t="n">
        <x:v>5</x:v>
      </x:c>
      <x:c r="K41" t="str">
        <x:v>Ready</x:v>
      </x:c>
    </x:row>
    <x:row r="42">
      <x:c r="A42" t="str">
        <x:v>Q-038</x:v>
      </x:c>
      <x:c r="B42" t="str">
        <x:v>CASE-013</x:v>
      </x:c>
      <x:c r="C42" t="str">
        <x:v>Logistics</x:v>
      </x:c>
      <x:c r="D42" s="28" t="str">
        <x:v>Which routes, vehicles, or customers experience repeated delays?</x:v>
      </x:c>
      <x:c r="E42" s="28" t="str">
        <x:v>Diagnostic</x:v>
      </x:c>
      <x:c r="F42" s="28" t="str">
        <x:v>SQL</x:v>
      </x:c>
      <x:c r="G42" s="28" t="str">
        <x:v>Delay pattern analysis</x:v>
      </x:c>
      <x:c r="H42" s="28" t="str">
        <x:v>Query/formula, result extract, validation check, finding, recommendation</x:v>
      </x:c>
      <x:c r="I42" t="str">
        <x:v>Intermediate</x:v>
      </x:c>
      <x:c r="J42" t="n">
        <x:v>5</x:v>
      </x:c>
      <x:c r="K42" t="str">
        <x:v>Ready</x:v>
      </x:c>
    </x:row>
    <x:row r="43">
      <x:c r="A43" t="str">
        <x:v>Q-039</x:v>
      </x:c>
      <x:c r="B43" t="str">
        <x:v>CASE-013</x:v>
      </x:c>
      <x:c r="C43" t="str">
        <x:v>Logistics</x:v>
      </x:c>
      <x:c r="D43" s="28" t="str">
        <x:v>What operational changes should logistics implement?</x:v>
      </x:c>
      <x:c r="E43" s="28" t="str">
        <x:v>Prescriptive</x:v>
      </x:c>
      <x:c r="F43" s="28" t="str">
        <x:v>Power BI / AI</x:v>
      </x:c>
      <x:c r="G43" s="28" t="str">
        <x:v>Action recommendations</x:v>
      </x:c>
      <x:c r="H43" s="28" t="str">
        <x:v>Query/formula, result extract, validation check, finding, recommendation</x:v>
      </x:c>
      <x:c r="I43" t="str">
        <x:v>Intermediate</x:v>
      </x:c>
      <x:c r="J43" t="n">
        <x:v>5</x:v>
      </x:c>
      <x:c r="K43" t="str">
        <x:v>Ready</x:v>
      </x:c>
    </x:row>
    <x:row r="44">
      <x:c r="A44" t="str">
        <x:v>Q-040</x:v>
      </x:c>
      <x:c r="B44" t="str">
        <x:v>CASE-014</x:v>
      </x:c>
      <x:c r="C44" t="str">
        <x:v>Logistics</x:v>
      </x:c>
      <x:c r="D44" s="28" t="str">
        <x:v>What is maintenance cost by vehicle?</x:v>
      </x:c>
      <x:c r="E44" s="28" t="str">
        <x:v>Descriptive</x:v>
      </x:c>
      <x:c r="F44" s="28" t="str">
        <x:v>Excel / Power BI</x:v>
      </x:c>
      <x:c r="G44" s="28" t="str">
        <x:v>SUM by vehicle</x:v>
      </x:c>
      <x:c r="H44" s="28" t="str">
        <x:v>Query/formula, result extract, validation check, finding, recommendation</x:v>
      </x:c>
      <x:c r="I44" t="str">
        <x:v>Beginner</x:v>
      </x:c>
      <x:c r="J44" t="n">
        <x:v>5</x:v>
      </x:c>
      <x:c r="K44" t="str">
        <x:v>Ready</x:v>
      </x:c>
    </x:row>
    <x:row r="45">
      <x:c r="A45" t="str">
        <x:v>Q-041</x:v>
      </x:c>
      <x:c r="B45" t="str">
        <x:v>CASE-014</x:v>
      </x:c>
      <x:c r="C45" t="str">
        <x:v>Logistics</x:v>
      </x:c>
      <x:c r="D45" s="28" t="str">
        <x:v>Which vehicles have high cost or repeated maintenance?</x:v>
      </x:c>
      <x:c r="E45" s="28" t="str">
        <x:v>Diagnostic</x:v>
      </x:c>
      <x:c r="F45" s="28" t="str">
        <x:v>Power BI</x:v>
      </x:c>
      <x:c r="G45" s="28" t="str">
        <x:v>Cost and frequency comparison</x:v>
      </x:c>
      <x:c r="H45" s="28" t="str">
        <x:v>Query/formula, result extract, validation check, finding, recommendation</x:v>
      </x:c>
      <x:c r="I45" t="str">
        <x:v>Beginner</x:v>
      </x:c>
      <x:c r="J45" t="n">
        <x:v>5</x:v>
      </x:c>
      <x:c r="K45" t="str">
        <x:v>Ready</x:v>
      </x:c>
    </x:row>
    <x:row r="46">
      <x:c r="A46" t="str">
        <x:v>Q-042</x:v>
      </x:c>
      <x:c r="B46" t="str">
        <x:v>CASE-014</x:v>
      </x:c>
      <x:c r="C46" t="str">
        <x:v>Logistics</x:v>
      </x:c>
      <x:c r="D46" s="28" t="str">
        <x:v>Which vehicles should be serviced, replaced, or monitored?</x:v>
      </x:c>
      <x:c r="E46" s="28" t="str">
        <x:v>Prescriptive</x:v>
      </x:c>
      <x:c r="F46" s="28" t="str">
        <x:v>Power BI</x:v>
      </x:c>
      <x:c r="G46" s="28" t="str">
        <x:v>Fleet classification</x:v>
      </x:c>
      <x:c r="H46" s="28" t="str">
        <x:v>Query/formula, result extract, validation check, finding, recommendation</x:v>
      </x:c>
      <x:c r="I46" t="str">
        <x:v>Beginner</x:v>
      </x:c>
      <x:c r="J46" t="n">
        <x:v>5</x:v>
      </x:c>
      <x:c r="K46" t="str">
        <x:v>Ready</x:v>
      </x:c>
    </x:row>
    <x:row r="47">
      <x:c r="A47" t="str">
        <x:v>Q-043</x:v>
      </x:c>
      <x:c r="B47" t="str">
        <x:v>CASE-015</x:v>
      </x:c>
      <x:c r="C47" t="str">
        <x:v>Marketing</x:v>
      </x:c>
      <x:c r="D47" s="28" t="str">
        <x:v>What is campaign cost, leads, conversions, and revenue?</x:v>
      </x:c>
      <x:c r="E47" s="28" t="str">
        <x:v>Descriptive</x:v>
      </x:c>
      <x:c r="F47" s="28" t="str">
        <x:v>Power BI</x:v>
      </x:c>
      <x:c r="G47" s="28" t="str">
        <x:v>Campaign funnel</x:v>
      </x:c>
      <x:c r="H47" s="28" t="str">
        <x:v>Query/formula, result extract, validation check, finding, recommendation</x:v>
      </x:c>
      <x:c r="I47" t="str">
        <x:v>Intermediate</x:v>
      </x:c>
      <x:c r="J47" t="n">
        <x:v>5</x:v>
      </x:c>
      <x:c r="K47" t="str">
        <x:v>Ready</x:v>
      </x:c>
    </x:row>
    <x:row r="48">
      <x:c r="A48" t="str">
        <x:v>Q-044</x:v>
      </x:c>
      <x:c r="B48" t="str">
        <x:v>CASE-015</x:v>
      </x:c>
      <x:c r="C48" t="str">
        <x:v>Marketing</x:v>
      </x:c>
      <x:c r="D48" s="28" t="str">
        <x:v>Which campaigns have the highest return on investment?</x:v>
      </x:c>
      <x:c r="E48" s="28" t="str">
        <x:v>Diagnostic</x:v>
      </x:c>
      <x:c r="F48" s="28" t="str">
        <x:v>Power BI</x:v>
      </x:c>
      <x:c r="G48" s="28" t="str">
        <x:v>Revenue minus cost / cost</x:v>
      </x:c>
      <x:c r="H48" s="28" t="str">
        <x:v>Query/formula, result extract, validation check, finding, recommendation</x:v>
      </x:c>
      <x:c r="I48" t="str">
        <x:v>Intermediate</x:v>
      </x:c>
      <x:c r="J48" t="n">
        <x:v>5</x:v>
      </x:c>
      <x:c r="K48" t="str">
        <x:v>Ready</x:v>
      </x:c>
    </x:row>
    <x:row r="49">
      <x:c r="A49" t="str">
        <x:v>Q-045</x:v>
      </x:c>
      <x:c r="B49" t="str">
        <x:v>CASE-015</x:v>
      </x:c>
      <x:c r="C49" t="str">
        <x:v>Marketing</x:v>
      </x:c>
      <x:c r="D49" s="28" t="str">
        <x:v>Which channels should receive more budget?</x:v>
      </x:c>
      <x:c r="E49" s="28" t="str">
        <x:v>Prescriptive</x:v>
      </x:c>
      <x:c r="F49" s="28" t="str">
        <x:v>Power BI / AI</x:v>
      </x:c>
      <x:c r="G49" s="28" t="str">
        <x:v>Budget recommendation</x:v>
      </x:c>
      <x:c r="H49" s="28" t="str">
        <x:v>Query/formula, result extract, validation check, finding, recommendation</x:v>
      </x:c>
      <x:c r="I49" t="str">
        <x:v>Intermediate</x:v>
      </x:c>
      <x:c r="J49" t="n">
        <x:v>5</x:v>
      </x:c>
      <x:c r="K49" t="str">
        <x:v>Ready</x:v>
      </x:c>
    </x:row>
    <x:row r="50">
      <x:c r="A50" t="str">
        <x:v>Q-046</x:v>
      </x:c>
      <x:c r="B50" t="str">
        <x:v>CASE-016</x:v>
      </x:c>
      <x:c r="C50" t="str">
        <x:v>Marketing</x:v>
      </x:c>
      <x:c r="D50" s="28" t="str">
        <x:v>Which customers are high-value, frequent, or at risk?</x:v>
      </x:c>
      <x:c r="E50" s="28" t="str">
        <x:v>Descriptive</x:v>
      </x:c>
      <x:c r="F50" s="28" t="str">
        <x:v>Excel / Power BI</x:v>
      </x:c>
      <x:c r="G50" s="28" t="str">
        <x:v>RFM-style grouping</x:v>
      </x:c>
      <x:c r="H50" s="28" t="str">
        <x:v>Query/formula, result extract, validation check, finding, recommendation</x:v>
      </x:c>
      <x:c r="I50" t="str">
        <x:v>Intermediate</x:v>
      </x:c>
      <x:c r="J50" t="n">
        <x:v>5</x:v>
      </x:c>
      <x:c r="K50" t="str">
        <x:v>Ready</x:v>
      </x:c>
    </x:row>
    <x:row r="51">
      <x:c r="A51" t="str">
        <x:v>Q-047</x:v>
      </x:c>
      <x:c r="B51" t="str">
        <x:v>CASE-016</x:v>
      </x:c>
      <x:c r="C51" t="str">
        <x:v>Marketing</x:v>
      </x:c>
      <x:c r="D51" s="28" t="str">
        <x:v>Which segments prefer specific products or channels?</x:v>
      </x:c>
      <x:c r="E51" s="28" t="str">
        <x:v>Diagnostic</x:v>
      </x:c>
      <x:c r="F51" s="28" t="str">
        <x:v>Power BI</x:v>
      </x:c>
      <x:c r="G51" s="28" t="str">
        <x:v>Segment analysis</x:v>
      </x:c>
      <x:c r="H51" s="28" t="str">
        <x:v>Query/formula, result extract, validation check, finding, recommendation</x:v>
      </x:c>
      <x:c r="I51" t="str">
        <x:v>Intermediate</x:v>
      </x:c>
      <x:c r="J51" t="n">
        <x:v>5</x:v>
      </x:c>
      <x:c r="K51" t="str">
        <x:v>Ready</x:v>
      </x:c>
    </x:row>
    <x:row r="52">
      <x:c r="A52" t="str">
        <x:v>Q-048</x:v>
      </x:c>
      <x:c r="B52" t="str">
        <x:v>CASE-016</x:v>
      </x:c>
      <x:c r="C52" t="str">
        <x:v>Marketing</x:v>
      </x:c>
      <x:c r="D52" s="28" t="str">
        <x:v>What offers should marketing target to each segment?</x:v>
      </x:c>
      <x:c r="E52" s="28" t="str">
        <x:v>Prescriptive</x:v>
      </x:c>
      <x:c r="F52" s="28" t="str">
        <x:v>AI-assisted analysis</x:v>
      </x:c>
      <x:c r="G52" s="28" t="str">
        <x:v>Segment recommendations</x:v>
      </x:c>
      <x:c r="H52" s="28" t="str">
        <x:v>Query/formula, result extract, validation check, finding, recommendation</x:v>
      </x:c>
      <x:c r="I52" t="str">
        <x:v>Intermediate</x:v>
      </x:c>
      <x:c r="J52" t="n">
        <x:v>5</x:v>
      </x:c>
      <x:c r="K52" t="str">
        <x:v>Ready</x:v>
      </x:c>
    </x:row>
    <x:row r="53">
      <x:c r="A53" t="str">
        <x:v>Q-049</x:v>
      </x:c>
      <x:c r="B53" t="str">
        <x:v>CASE-017</x:v>
      </x:c>
      <x:c r="C53" t="str">
        <x:v>Customer Service</x:v>
      </x:c>
      <x:c r="D53" s="28" t="str">
        <x:v>What are the most common complaint categories?</x:v>
      </x:c>
      <x:c r="E53" s="28" t="str">
        <x:v>Descriptive</x:v>
      </x:c>
      <x:c r="F53" s="28" t="str">
        <x:v>Excel / SQL</x:v>
      </x:c>
      <x:c r="G53" s="28" t="str">
        <x:v>COUNT and ranking</x:v>
      </x:c>
      <x:c r="H53" s="28" t="str">
        <x:v>Query/formula, result extract, validation check, finding, recommendation</x:v>
      </x:c>
      <x:c r="I53" t="str">
        <x:v>Beginner</x:v>
      </x:c>
      <x:c r="J53" t="n">
        <x:v>5</x:v>
      </x:c>
      <x:c r="K53" t="str">
        <x:v>Ready</x:v>
      </x:c>
    </x:row>
    <x:row r="54">
      <x:c r="A54" t="str">
        <x:v>Q-050</x:v>
      </x:c>
      <x:c r="B54" t="str">
        <x:v>CASE-017</x:v>
      </x:c>
      <x:c r="C54" t="str">
        <x:v>Customer Service</x:v>
      </x:c>
      <x:c r="D54" s="28" t="str">
        <x:v>Which products, branches, or channels generate the most complaints?</x:v>
      </x:c>
      <x:c r="E54" s="28" t="str">
        <x:v>Diagnostic</x:v>
      </x:c>
      <x:c r="F54" s="28" t="str">
        <x:v>SQL / Power BI</x:v>
      </x:c>
      <x:c r="G54" s="28" t="str">
        <x:v>Complaint rate</x:v>
      </x:c>
      <x:c r="H54" s="28" t="str">
        <x:v>Query/formula, result extract, validation check, finding, recommendation</x:v>
      </x:c>
      <x:c r="I54" t="str">
        <x:v>Beginner</x:v>
      </x:c>
      <x:c r="J54" t="n">
        <x:v>5</x:v>
      </x:c>
      <x:c r="K54" t="str">
        <x:v>Ready</x:v>
      </x:c>
    </x:row>
    <x:row r="55">
      <x:c r="A55" t="str">
        <x:v>Q-051</x:v>
      </x:c>
      <x:c r="B55" t="str">
        <x:v>CASE-017</x:v>
      </x:c>
      <x:c r="C55" t="str">
        <x:v>Customer Service</x:v>
      </x:c>
      <x:c r="D55" s="28" t="str">
        <x:v>What corrective actions should management prioritize?</x:v>
      </x:c>
      <x:c r="E55" s="28" t="str">
        <x:v>Prescriptive</x:v>
      </x:c>
      <x:c r="F55" s="28" t="str">
        <x:v>Power BI / AI</x:v>
      </x:c>
      <x:c r="G55" s="28" t="str">
        <x:v>Root-cause action plan</x:v>
      </x:c>
      <x:c r="H55" s="28" t="str">
        <x:v>Query/formula, result extract, validation check, finding, recommendation</x:v>
      </x:c>
      <x:c r="I55" t="str">
        <x:v>Beginner</x:v>
      </x:c>
      <x:c r="J55" t="n">
        <x:v>5</x:v>
      </x:c>
      <x:c r="K55" t="str">
        <x:v>Ready</x:v>
      </x:c>
    </x:row>
    <x:row r="56">
      <x:c r="A56" t="str">
        <x:v>Q-052</x:v>
      </x:c>
      <x:c r="B56" t="str">
        <x:v>CASE-018</x:v>
      </x:c>
      <x:c r="C56" t="str">
        <x:v>Customer Service</x:v>
      </x:c>
      <x:c r="D56" s="28" t="str">
        <x:v>What is average resolution time and satisfaction by branch?</x:v>
      </x:c>
      <x:c r="E56" s="28" t="str">
        <x:v>Descriptive</x:v>
      </x:c>
      <x:c r="F56" s="28" t="str">
        <x:v>SQL / Power BI</x:v>
      </x:c>
      <x:c r="G56" s="28" t="str">
        <x:v>Date difference and average</x:v>
      </x:c>
      <x:c r="H56" s="28" t="str">
        <x:v>Query/formula, result extract, validation check, finding, recommendation</x:v>
      </x:c>
      <x:c r="I56" t="str">
        <x:v>Intermediate</x:v>
      </x:c>
      <x:c r="J56" t="n">
        <x:v>5</x:v>
      </x:c>
      <x:c r="K56" t="str">
        <x:v>Ready</x:v>
      </x:c>
    </x:row>
    <x:row r="57">
      <x:c r="A57" t="str">
        <x:v>Q-053</x:v>
      </x:c>
      <x:c r="B57" t="str">
        <x:v>CASE-018</x:v>
      </x:c>
      <x:c r="C57" t="str">
        <x:v>Customer Service</x:v>
      </x:c>
      <x:c r="D57" s="28" t="str">
        <x:v>Which employees handle complaints most effectively?</x:v>
      </x:c>
      <x:c r="E57" s="28" t="str">
        <x:v>Diagnostic</x:v>
      </x:c>
      <x:c r="F57" s="28" t="str">
        <x:v>Power BI</x:v>
      </x:c>
      <x:c r="G57" s="28" t="str">
        <x:v>Resolution and satisfaction comparison</x:v>
      </x:c>
      <x:c r="H57" s="28" t="str">
        <x:v>Query/formula, result extract, validation check, finding, recommendation</x:v>
      </x:c>
      <x:c r="I57" t="str">
        <x:v>Intermediate</x:v>
      </x:c>
      <x:c r="J57" t="n">
        <x:v>5</x:v>
      </x:c>
      <x:c r="K57" t="str">
        <x:v>Ready</x:v>
      </x:c>
    </x:row>
    <x:row r="58">
      <x:c r="A58" t="str">
        <x:v>Q-054</x:v>
      </x:c>
      <x:c r="B58" t="str">
        <x:v>CASE-018</x:v>
      </x:c>
      <x:c r="C58" t="str">
        <x:v>Customer Service</x:v>
      </x:c>
      <x:c r="D58" s="28" t="str">
        <x:v>What service standards should be improved?</x:v>
      </x:c>
      <x:c r="E58" s="28" t="str">
        <x:v>Prescriptive</x:v>
      </x:c>
      <x:c r="F58" s="28" t="str">
        <x:v>Power BI / AI</x:v>
      </x:c>
      <x:c r="G58" s="28" t="str">
        <x:v>Service improvement plan</x:v>
      </x:c>
      <x:c r="H58" s="28" t="str">
        <x:v>Query/formula, result extract, validation check, finding, recommendation</x:v>
      </x:c>
      <x:c r="I58" t="str">
        <x:v>Intermediate</x:v>
      </x:c>
      <x:c r="J58" t="n">
        <x:v>5</x:v>
      </x:c>
      <x:c r="K58" t="str">
        <x:v>Ready</x:v>
      </x:c>
    </x:row>
    <x:row r="59">
      <x:c r="A59" t="str">
        <x:v>Q-055</x:v>
      </x:c>
      <x:c r="B59" t="str">
        <x:v>CASE-019</x:v>
      </x:c>
      <x:c r="C59" t="str">
        <x:v>Information Technology</x:v>
      </x:c>
      <x:c r="D59" s="28" t="str">
        <x:v>How many tickets are open, overdue, or resolved?</x:v>
      </x:c>
      <x:c r="E59" s="28" t="str">
        <x:v>Descriptive</x:v>
      </x:c>
      <x:c r="F59" s="28" t="str">
        <x:v>Excel / SQL</x:v>
      </x:c>
      <x:c r="G59" s="28" t="str">
        <x:v>Status counts</x:v>
      </x:c>
      <x:c r="H59" s="28" t="str">
        <x:v>Query/formula, result extract, validation check, finding, recommendation</x:v>
      </x:c>
      <x:c r="I59" t="str">
        <x:v>Beginner</x:v>
      </x:c>
      <x:c r="J59" t="n">
        <x:v>5</x:v>
      </x:c>
      <x:c r="K59" t="str">
        <x:v>Ready</x:v>
      </x:c>
    </x:row>
    <x:row r="60">
      <x:c r="A60" t="str">
        <x:v>Q-056</x:v>
      </x:c>
      <x:c r="B60" t="str">
        <x:v>CASE-019</x:v>
      </x:c>
      <x:c r="C60" t="str">
        <x:v>Information Technology</x:v>
      </x:c>
      <x:c r="D60" s="28" t="str">
        <x:v>Which issue categories and assets cause repeated tickets?</x:v>
      </x:c>
      <x:c r="E60" s="28" t="str">
        <x:v>Diagnostic</x:v>
      </x:c>
      <x:c r="F60" s="28" t="str">
        <x:v>SQL / Power BI</x:v>
      </x:c>
      <x:c r="G60" s="28" t="str">
        <x:v>Frequency analysis</x:v>
      </x:c>
      <x:c r="H60" s="28" t="str">
        <x:v>Query/formula, result extract, validation check, finding, recommendation</x:v>
      </x:c>
      <x:c r="I60" t="str">
        <x:v>Beginner</x:v>
      </x:c>
      <x:c r="J60" t="n">
        <x:v>5</x:v>
      </x:c>
      <x:c r="K60" t="str">
        <x:v>Ready</x:v>
      </x:c>
    </x:row>
    <x:row r="61">
      <x:c r="A61" t="str">
        <x:v>Q-057</x:v>
      </x:c>
      <x:c r="B61" t="str">
        <x:v>CASE-019</x:v>
      </x:c>
      <x:c r="C61" t="str">
        <x:v>Information Technology</x:v>
      </x:c>
      <x:c r="D61" s="28" t="str">
        <x:v>What IT improvements should be prioritized?</x:v>
      </x:c>
      <x:c r="E61" s="28" t="str">
        <x:v>Prescriptive</x:v>
      </x:c>
      <x:c r="F61" s="28" t="str">
        <x:v>Power BI / AI</x:v>
      </x:c>
      <x:c r="G61" s="28" t="str">
        <x:v>Priority recommendations</x:v>
      </x:c>
      <x:c r="H61" s="28" t="str">
        <x:v>Query/formula, result extract, validation check, finding, recommendation</x:v>
      </x:c>
      <x:c r="I61" t="str">
        <x:v>Beginner</x:v>
      </x:c>
      <x:c r="J61" t="n">
        <x:v>5</x:v>
      </x:c>
      <x:c r="K61" t="str">
        <x:v>Ready</x:v>
      </x:c>
    </x:row>
    <x:row r="62">
      <x:c r="A62" t="str">
        <x:v>Q-058</x:v>
      </x:c>
      <x:c r="B62" t="str">
        <x:v>CASE-020</x:v>
      </x:c>
      <x:c r="C62" t="str">
        <x:v>Information Security</x:v>
      </x:c>
      <x:c r="D62" s="28" t="str">
        <x:v>What incidents and alerts occurred by severity and branch?</x:v>
      </x:c>
      <x:c r="E62" s="28" t="str">
        <x:v>Descriptive</x:v>
      </x:c>
      <x:c r="F62" s="28" t="str">
        <x:v>SQL / Power BI</x:v>
      </x:c>
      <x:c r="G62" s="28" t="str">
        <x:v>Incident counts</x:v>
      </x:c>
      <x:c r="H62" s="28" t="str">
        <x:v>Query/formula, result extract, validation check, finding, recommendation</x:v>
      </x:c>
      <x:c r="I62" t="str">
        <x:v>Intermediate</x:v>
      </x:c>
      <x:c r="J62" t="n">
        <x:v>5</x:v>
      </x:c>
      <x:c r="K62" t="str">
        <x:v>Ready</x:v>
      </x:c>
    </x:row>
    <x:row r="63">
      <x:c r="A63" t="str">
        <x:v>Q-059</x:v>
      </x:c>
      <x:c r="B63" t="str">
        <x:v>CASE-020</x:v>
      </x:c>
      <x:c r="C63" t="str">
        <x:v>Information Security</x:v>
      </x:c>
      <x:c r="D63" s="28" t="str">
        <x:v>Which assets, users, and incident types create the greatest risk?</x:v>
      </x:c>
      <x:c r="E63" s="28" t="str">
        <x:v>Diagnostic</x:v>
      </x:c>
      <x:c r="F63" s="28" t="str">
        <x:v>SQL</x:v>
      </x:c>
      <x:c r="G63" s="28" t="str">
        <x:v>Risk concentration</x:v>
      </x:c>
      <x:c r="H63" s="28" t="str">
        <x:v>Query/formula, result extract, validation check, finding, recommendation</x:v>
      </x:c>
      <x:c r="I63" t="str">
        <x:v>Intermediate</x:v>
      </x:c>
      <x:c r="J63" t="n">
        <x:v>5</x:v>
      </x:c>
      <x:c r="K63" t="str">
        <x:v>Ready</x:v>
      </x:c>
    </x:row>
    <x:row r="64">
      <x:c r="A64" t="str">
        <x:v>Q-060</x:v>
      </x:c>
      <x:c r="B64" t="str">
        <x:v>CASE-020</x:v>
      </x:c>
      <x:c r="C64" t="str">
        <x:v>Information Security</x:v>
      </x:c>
      <x:c r="D64" s="28" t="str">
        <x:v>Which security controls require immediate improvement?</x:v>
      </x:c>
      <x:c r="E64" s="28" t="str">
        <x:v>Prescriptive</x:v>
      </x:c>
      <x:c r="F64" s="28" t="str">
        <x:v>Power BI / AI</x:v>
      </x:c>
      <x:c r="G64" s="28" t="str">
        <x:v>Control recommendations</x:v>
      </x:c>
      <x:c r="H64" s="28" t="str">
        <x:v>Query/formula, result extract, validation check, finding, recommendation</x:v>
      </x:c>
      <x:c r="I64" t="str">
        <x:v>Intermediate</x:v>
      </x:c>
      <x:c r="J64" t="n">
        <x:v>5</x:v>
      </x:c>
      <x:c r="K64" t="str">
        <x:v>Ready</x:v>
      </x:c>
    </x:row>
    <x:row r="65">
      <x:c r="A65" t="str">
        <x:v>Q-061</x:v>
      </x:c>
      <x:c r="B65" t="str">
        <x:v>CASE-021</x:v>
      </x:c>
      <x:c r="C65" t="str">
        <x:v>Risk and Audit</x:v>
      </x:c>
      <x:c r="D65" s="28" t="str">
        <x:v>How many audit findings are open, overdue, or closed?</x:v>
      </x:c>
      <x:c r="E65" s="28" t="str">
        <x:v>Descriptive</x:v>
      </x:c>
      <x:c r="F65" s="28" t="str">
        <x:v>Excel / SQL</x:v>
      </x:c>
      <x:c r="G65" s="28" t="str">
        <x:v>Status and due-date analysis</x:v>
      </x:c>
      <x:c r="H65" s="28" t="str">
        <x:v>Query/formula, result extract, validation check, finding, recommendation</x:v>
      </x:c>
      <x:c r="I65" t="str">
        <x:v>Intermediate</x:v>
      </x:c>
      <x:c r="J65" t="n">
        <x:v>5</x:v>
      </x:c>
      <x:c r="K65" t="str">
        <x:v>Ready</x:v>
      </x:c>
    </x:row>
    <x:row r="66">
      <x:c r="A66" t="str">
        <x:v>Q-062</x:v>
      </x:c>
      <x:c r="B66" t="str">
        <x:v>CASE-021</x:v>
      </x:c>
      <x:c r="C66" t="str">
        <x:v>Risk and Audit</x:v>
      </x:c>
      <x:c r="D66" s="28" t="str">
        <x:v>Which departments have repeat or high-risk findings?</x:v>
      </x:c>
      <x:c r="E66" s="28" t="str">
        <x:v>Diagnostic</x:v>
      </x:c>
      <x:c r="F66" s="28" t="str">
        <x:v>Power BI</x:v>
      </x:c>
      <x:c r="G66" s="28" t="str">
        <x:v>Finding concentration</x:v>
      </x:c>
      <x:c r="H66" s="28" t="str">
        <x:v>Query/formula, result extract, validation check, finding, recommendation</x:v>
      </x:c>
      <x:c r="I66" t="str">
        <x:v>Intermediate</x:v>
      </x:c>
      <x:c r="J66" t="n">
        <x:v>5</x:v>
      </x:c>
      <x:c r="K66" t="str">
        <x:v>Ready</x:v>
      </x:c>
    </x:row>
    <x:row r="67">
      <x:c r="A67" t="str">
        <x:v>Q-063</x:v>
      </x:c>
      <x:c r="B67" t="str">
        <x:v>CASE-021</x:v>
      </x:c>
      <x:c r="C67" t="str">
        <x:v>Risk and Audit</x:v>
      </x:c>
      <x:c r="D67" s="28" t="str">
        <x:v>Which corrective actions require escalation?</x:v>
      </x:c>
      <x:c r="E67" s="28" t="str">
        <x:v>Prescriptive</x:v>
      </x:c>
      <x:c r="F67" s="28" t="str">
        <x:v>Power BI / AI</x:v>
      </x:c>
      <x:c r="G67" s="28" t="str">
        <x:v>Escalation ranking</x:v>
      </x:c>
      <x:c r="H67" s="28" t="str">
        <x:v>Query/formula, result extract, validation check, finding, recommendation</x:v>
      </x:c>
      <x:c r="I67" t="str">
        <x:v>Intermediate</x:v>
      </x:c>
      <x:c r="J67" t="n">
        <x:v>5</x:v>
      </x:c>
      <x:c r="K67" t="str">
        <x:v>Ready</x:v>
      </x:c>
    </x:row>
    <x:row r="68">
      <x:c r="A68" t="str">
        <x:v>Q-064</x:v>
      </x:c>
      <x:c r="B68" t="str">
        <x:v>CASE-022</x:v>
      </x:c>
      <x:c r="C68" t="str">
        <x:v>Business Intelligence</x:v>
      </x:c>
      <x:c r="D68" s="28" t="str">
        <x:v>Which KPIs fail reconciliation to source data?</x:v>
      </x:c>
      <x:c r="E68" s="28" t="str">
        <x:v>Diagnostic</x:v>
      </x:c>
      <x:c r="F68" s="28" t="str">
        <x:v>SQL / Excel</x:v>
      </x:c>
      <x:c r="G68" s="28" t="str">
        <x:v>Recalculation and variance</x:v>
      </x:c>
      <x:c r="H68" s="28" t="str">
        <x:v>Query/formula, result extract, validation check, finding, recommendation</x:v>
      </x:c>
      <x:c r="I68" t="str">
        <x:v>Advanced</x:v>
      </x:c>
      <x:c r="J68" t="n">
        <x:v>5</x:v>
      </x:c>
      <x:c r="K68" t="str">
        <x:v>Ready</x:v>
      </x:c>
    </x:row>
    <x:row r="69">
      <x:c r="A69" t="str">
        <x:v>Q-065</x:v>
      </x:c>
      <x:c r="B69" t="str">
        <x:v>CASE-022</x:v>
      </x:c>
      <x:c r="C69" t="str">
        <x:v>Business Intelligence</x:v>
      </x:c>
      <x:c r="D69" s="28" t="str">
        <x:v>Which KPI definitions are incomplete or inconsistent?</x:v>
      </x:c>
      <x:c r="E69" s="28" t="str">
        <x:v>Diagnostic</x:v>
      </x:c>
      <x:c r="F69" s="28" t="str">
        <x:v>Excel</x:v>
      </x:c>
      <x:c r="G69" s="28" t="str">
        <x:v>Definition quality review</x:v>
      </x:c>
      <x:c r="H69" s="28" t="str">
        <x:v>Query/formula, result extract, validation check, finding, recommendation</x:v>
      </x:c>
      <x:c r="I69" t="str">
        <x:v>Advanced</x:v>
      </x:c>
      <x:c r="J69" t="n">
        <x:v>5</x:v>
      </x:c>
      <x:c r="K69" t="str">
        <x:v>Ready</x:v>
      </x:c>
    </x:row>
    <x:row r="70">
      <x:c r="A70" t="str">
        <x:v>Q-066</x:v>
      </x:c>
      <x:c r="B70" t="str">
        <x:v>CASE-022</x:v>
      </x:c>
      <x:c r="C70" t="str">
        <x:v>Business Intelligence</x:v>
      </x:c>
      <x:c r="D70" s="28" t="str">
        <x:v>What controls should govern enterprise KPI reporting?</x:v>
      </x:c>
      <x:c r="E70" s="28" t="str">
        <x:v>Prescriptive</x:v>
      </x:c>
      <x:c r="F70" s="28" t="str">
        <x:v>Power BI / AI</x:v>
      </x:c>
      <x:c r="G70" s="28" t="str">
        <x:v>KPI governance framework</x:v>
      </x:c>
      <x:c r="H70" s="28" t="str">
        <x:v>Query/formula, result extract, validation check, finding, recommendation</x:v>
      </x:c>
      <x:c r="I70" t="str">
        <x:v>Advanced</x:v>
      </x:c>
      <x:c r="J70" t="n">
        <x:v>5</x:v>
      </x:c>
      <x:c r="K70" t="str">
        <x:v>Ready</x:v>
      </x:c>
    </x:row>
    <x:row r="71">
      <x:c r="D71" s="28"/>
      <x:c r="E71" s="28"/>
      <x:c r="F71" s="28"/>
      <x:c r="G71" s="28"/>
      <x:c r="H71" s="28"/>
    </x:row>
    <x:row r="72">
      <x:c r="D72" s="28"/>
      <x:c r="E72" s="28"/>
      <x:c r="F72" s="28"/>
      <x:c r="G72" s="28"/>
      <x:c r="H72" s="28"/>
    </x:row>
    <x:row r="73">
      <x:c r="D73" s="28"/>
      <x:c r="E73" s="28"/>
      <x:c r="F73" s="28"/>
      <x:c r="G73" s="28"/>
      <x:c r="H73" s="28"/>
    </x:row>
    <x:row r="74">
      <x:c r="D74" s="28"/>
      <x:c r="E74" s="28"/>
      <x:c r="F74" s="28"/>
      <x:c r="G74" s="28"/>
      <x:c r="H74" s="28"/>
    </x:row>
    <x:row r="75">
      <x:c r="D75" s="28"/>
      <x:c r="E75" s="28"/>
      <x:c r="F75" s="28"/>
      <x:c r="G75" s="28"/>
      <x:c r="H75" s="28"/>
    </x:row>
    <x:row r="76">
      <x:c r="D76" s="28"/>
      <x:c r="E76" s="28"/>
      <x:c r="F76" s="28"/>
      <x:c r="G76" s="28"/>
      <x:c r="H76" s="28"/>
    </x:row>
    <x:row r="77">
      <x:c r="D77" s="28"/>
      <x:c r="E77" s="28"/>
      <x:c r="F77" s="28"/>
      <x:c r="G77" s="28"/>
      <x:c r="H77" s="28"/>
    </x:row>
    <x:row r="78">
      <x:c r="D78" s="28"/>
      <x:c r="E78" s="28"/>
      <x:c r="F78" s="28"/>
      <x:c r="G78" s="28"/>
      <x:c r="H78" s="28"/>
    </x:row>
    <x:row r="79">
      <x:c r="D79" s="28"/>
      <x:c r="E79" s="28"/>
      <x:c r="F79" s="28"/>
      <x:c r="G79" s="28"/>
      <x:c r="H79" s="28"/>
    </x:row>
    <x:row r="80">
      <x:c r="D80" s="28"/>
      <x:c r="E80" s="28"/>
      <x:c r="F80" s="28"/>
      <x:c r="G80" s="28"/>
      <x:c r="H80" s="28"/>
    </x:row>
    <x:row r="81">
      <x:c r="D81" s="28"/>
      <x:c r="E81" s="28"/>
      <x:c r="F81" s="28"/>
      <x:c r="G81" s="28"/>
      <x:c r="H81" s="28"/>
    </x:row>
    <x:row r="82">
      <x:c r="D82" s="28"/>
      <x:c r="E82" s="28"/>
      <x:c r="F82" s="28"/>
      <x:c r="G82" s="28"/>
      <x:c r="H82" s="28"/>
    </x:row>
    <x:row r="83">
      <x:c r="D83" s="28"/>
      <x:c r="E83" s="28"/>
      <x:c r="F83" s="28"/>
      <x:c r="G83" s="28"/>
      <x:c r="H83" s="28"/>
    </x:row>
    <x:row r="84">
      <x:c r="D84" s="28"/>
      <x:c r="E84" s="28"/>
      <x:c r="F84" s="28"/>
      <x:c r="G84" s="28"/>
      <x:c r="H84" s="28"/>
    </x:row>
    <x:row r="85">
      <x:c r="D85" s="28"/>
      <x:c r="E85" s="28"/>
      <x:c r="F85" s="28"/>
      <x:c r="G85" s="28"/>
      <x:c r="H85" s="28"/>
    </x:row>
    <x:row r="86">
      <x:c r="D86" s="28"/>
      <x:c r="E86" s="28"/>
      <x:c r="F86" s="28"/>
      <x:c r="G86" s="28"/>
      <x:c r="H86" s="28"/>
    </x:row>
    <x:row r="87">
      <x:c r="D87" s="28"/>
      <x:c r="E87" s="28"/>
      <x:c r="F87" s="28"/>
      <x:c r="G87" s="28"/>
      <x:c r="H87" s="28"/>
    </x:row>
    <x:row r="88">
      <x:c r="D88" s="28"/>
      <x:c r="E88" s="28"/>
      <x:c r="F88" s="28"/>
      <x:c r="G88" s="28"/>
      <x:c r="H88" s="28"/>
    </x:row>
    <x:row r="89">
      <x:c r="D89" s="28"/>
      <x:c r="E89" s="28"/>
      <x:c r="F89" s="28"/>
      <x:c r="G89" s="28"/>
      <x:c r="H89" s="28"/>
    </x:row>
    <x:row r="90">
      <x:c r="D90" s="28"/>
      <x:c r="E90" s="28"/>
      <x:c r="F90" s="28"/>
      <x:c r="G90" s="28"/>
      <x:c r="H90" s="28"/>
    </x:row>
    <x:row r="91">
      <x:c r="D91" s="28"/>
      <x:c r="E91" s="28"/>
      <x:c r="F91" s="28"/>
      <x:c r="G91" s="28"/>
      <x:c r="H91" s="28"/>
    </x:row>
    <x:row r="92">
      <x:c r="D92" s="28"/>
      <x:c r="E92" s="28"/>
      <x:c r="F92" s="28"/>
      <x:c r="G92" s="28"/>
      <x:c r="H92" s="28"/>
    </x:row>
    <x:row r="93">
      <x:c r="D93" s="28"/>
      <x:c r="E93" s="28"/>
      <x:c r="F93" s="28"/>
      <x:c r="G93" s="28"/>
      <x:c r="H93" s="28"/>
    </x:row>
    <x:row r="94">
      <x:c r="D94" s="28"/>
      <x:c r="E94" s="28"/>
      <x:c r="F94" s="28"/>
      <x:c r="G94" s="28"/>
      <x:c r="H94" s="28"/>
    </x:row>
    <x:row r="95">
      <x:c r="D95" s="28"/>
      <x:c r="E95" s="28"/>
      <x:c r="F95" s="28"/>
      <x:c r="G95" s="28"/>
      <x:c r="H95" s="28"/>
    </x:row>
    <x:row r="96">
      <x:c r="D96" s="28"/>
      <x:c r="E96" s="28"/>
      <x:c r="F96" s="28"/>
      <x:c r="G96" s="28"/>
      <x:c r="H96" s="28"/>
    </x:row>
    <x:row r="97">
      <x:c r="D97" s="28"/>
      <x:c r="E97" s="28"/>
      <x:c r="F97" s="28"/>
      <x:c r="G97" s="28"/>
      <x:c r="H97" s="28"/>
    </x:row>
    <x:row r="98">
      <x:c r="D98" s="28"/>
      <x:c r="E98" s="28"/>
      <x:c r="F98" s="28"/>
      <x:c r="G98" s="28"/>
      <x:c r="H98" s="28"/>
    </x:row>
    <x:row r="99">
      <x:c r="D99" s="28"/>
      <x:c r="E99" s="28"/>
      <x:c r="F99" s="28"/>
      <x:c r="G99" s="28"/>
      <x:c r="H99" s="28"/>
    </x:row>
    <x:row r="100">
      <x:c r="D100" s="28"/>
      <x:c r="E100" s="28"/>
      <x:c r="F100" s="28"/>
      <x:c r="G100" s="28"/>
      <x:c r="H100" s="28"/>
    </x:row>
    <x:row r="101">
      <x:c r="D101" s="28"/>
      <x:c r="E101" s="28"/>
      <x:c r="F101" s="28"/>
      <x:c r="G101" s="28"/>
      <x:c r="H101" s="28"/>
    </x:row>
    <x:row r="102">
      <x:c r="D102" s="28"/>
      <x:c r="E102" s="28"/>
      <x:c r="F102" s="28"/>
      <x:c r="G102" s="28"/>
      <x:c r="H102" s="28"/>
    </x:row>
    <x:row r="103">
      <x:c r="D103" s="28"/>
      <x:c r="E103" s="28"/>
      <x:c r="F103" s="28"/>
      <x:c r="G103" s="28"/>
      <x:c r="H103" s="28"/>
    </x:row>
    <x:row r="104">
      <x:c r="D104" s="28"/>
      <x:c r="E104" s="28"/>
      <x:c r="F104" s="28"/>
      <x:c r="G104" s="28"/>
      <x:c r="H104" s="28"/>
    </x:row>
    <x:row r="105">
      <x:c r="D105" s="28"/>
      <x:c r="E105" s="28"/>
      <x:c r="F105" s="28"/>
      <x:c r="G105" s="28"/>
      <x:c r="H105" s="28"/>
    </x:row>
    <x:row r="106">
      <x:c r="D106" s="28"/>
      <x:c r="E106" s="28"/>
      <x:c r="F106" s="28"/>
      <x:c r="G106" s="28"/>
      <x:c r="H106" s="28"/>
    </x:row>
    <x:row r="107">
      <x:c r="D107" s="28"/>
      <x:c r="E107" s="28"/>
      <x:c r="F107" s="28"/>
      <x:c r="G107" s="28"/>
      <x:c r="H107" s="28"/>
    </x:row>
    <x:row r="108">
      <x:c r="D108" s="28"/>
      <x:c r="E108" s="28"/>
      <x:c r="F108" s="28"/>
      <x:c r="G108" s="28"/>
      <x:c r="H108" s="28"/>
    </x:row>
    <x:row r="109">
      <x:c r="D109" s="28"/>
      <x:c r="E109" s="28"/>
      <x:c r="F109" s="28"/>
      <x:c r="G109" s="28"/>
      <x:c r="H109" s="28"/>
    </x:row>
    <x:row r="110">
      <x:c r="D110" s="28"/>
      <x:c r="E110" s="28"/>
      <x:c r="F110" s="28"/>
      <x:c r="G110" s="28"/>
      <x:c r="H110" s="28"/>
    </x:row>
    <x:row r="111">
      <x:c r="D111" s="28"/>
      <x:c r="E111" s="28"/>
      <x:c r="F111" s="28"/>
      <x:c r="G111" s="28"/>
      <x:c r="H111" s="28"/>
    </x:row>
    <x:row r="112">
      <x:c r="D112" s="28"/>
      <x:c r="E112" s="28"/>
      <x:c r="F112" s="28"/>
      <x:c r="G112" s="28"/>
      <x:c r="H112" s="28"/>
    </x:row>
    <x:row r="113">
      <x:c r="D113" s="28"/>
      <x:c r="E113" s="28"/>
      <x:c r="F113" s="28"/>
      <x:c r="G113" s="28"/>
      <x:c r="H113" s="28"/>
    </x:row>
    <x:row r="114">
      <x:c r="D114" s="28"/>
      <x:c r="E114" s="28"/>
      <x:c r="F114" s="28"/>
      <x:c r="G114" s="28"/>
      <x:c r="H114" s="28"/>
    </x:row>
    <x:row r="115">
      <x:c r="D115" s="28"/>
      <x:c r="E115" s="28"/>
      <x:c r="F115" s="28"/>
      <x:c r="G115" s="28"/>
      <x:c r="H115" s="28"/>
    </x:row>
    <x:row r="116">
      <x:c r="D116" s="28"/>
      <x:c r="E116" s="28"/>
      <x:c r="F116" s="28"/>
      <x:c r="G116" s="28"/>
      <x:c r="H116" s="28"/>
    </x:row>
    <x:row r="117">
      <x:c r="D117" s="28"/>
      <x:c r="E117" s="28"/>
      <x:c r="F117" s="28"/>
      <x:c r="G117" s="28"/>
      <x:c r="H117" s="28"/>
    </x:row>
    <x:row r="118">
      <x:c r="D118" s="28"/>
      <x:c r="E118" s="28"/>
      <x:c r="F118" s="28"/>
      <x:c r="G118" s="28"/>
      <x:c r="H118" s="28"/>
    </x:row>
    <x:row r="119">
      <x:c r="D119" s="28"/>
      <x:c r="E119" s="28"/>
      <x:c r="F119" s="28"/>
      <x:c r="G119" s="28"/>
      <x:c r="H119" s="28"/>
    </x:row>
    <x:row r="120">
      <x:c r="D120" s="28"/>
      <x:c r="E120" s="28"/>
      <x:c r="F120" s="28"/>
      <x:c r="G120" s="28"/>
      <x:c r="H120" s="28"/>
    </x:row>
    <x:row r="121">
      <x:c r="D121" s="28"/>
      <x:c r="E121" s="28"/>
      <x:c r="F121" s="28"/>
      <x:c r="G121" s="28"/>
      <x:c r="H121" s="28"/>
    </x:row>
    <x:row r="122">
      <x:c r="D122" s="28"/>
      <x:c r="E122" s="28"/>
      <x:c r="F122" s="28"/>
      <x:c r="G122" s="28"/>
      <x:c r="H122" s="28"/>
    </x:row>
    <x:row r="123">
      <x:c r="D123" s="28"/>
      <x:c r="E123" s="28"/>
      <x:c r="F123" s="28"/>
      <x:c r="G123" s="28"/>
      <x:c r="H123" s="28"/>
    </x:row>
    <x:row r="124">
      <x:c r="D124" s="28"/>
      <x:c r="E124" s="28"/>
      <x:c r="F124" s="28"/>
      <x:c r="G124" s="28"/>
      <x:c r="H124" s="28"/>
    </x:row>
    <x:row r="125">
      <x:c r="D125" s="28"/>
      <x:c r="E125" s="28"/>
      <x:c r="F125" s="28"/>
      <x:c r="G125" s="28"/>
      <x:c r="H125" s="28"/>
    </x:row>
    <x:row r="126">
      <x:c r="D126" s="28"/>
      <x:c r="E126" s="28"/>
      <x:c r="F126" s="28"/>
      <x:c r="G126" s="28"/>
      <x:c r="H126" s="28"/>
    </x:row>
    <x:row r="127">
      <x:c r="D127" s="28"/>
      <x:c r="E127" s="28"/>
      <x:c r="F127" s="28"/>
      <x:c r="G127" s="28"/>
      <x:c r="H127" s="28"/>
    </x:row>
    <x:row r="128">
      <x:c r="D128" s="28"/>
      <x:c r="E128" s="28"/>
      <x:c r="F128" s="28"/>
      <x:c r="G128" s="28"/>
      <x:c r="H128" s="28"/>
    </x:row>
    <x:row r="129">
      <x:c r="D129" s="28"/>
      <x:c r="E129" s="28"/>
      <x:c r="F129" s="28"/>
      <x:c r="G129" s="28"/>
      <x:c r="H129" s="28"/>
    </x:row>
    <x:row r="130">
      <x:c r="D130" s="28"/>
      <x:c r="E130" s="28"/>
      <x:c r="F130" s="28"/>
      <x:c r="G130" s="28"/>
      <x:c r="H130" s="28"/>
    </x:row>
    <x:row r="131">
      <x:c r="D131" s="28"/>
      <x:c r="E131" s="28"/>
      <x:c r="F131" s="28"/>
      <x:c r="G131" s="28"/>
      <x:c r="H131" s="28"/>
    </x:row>
    <x:row r="132">
      <x:c r="D132" s="28"/>
      <x:c r="E132" s="28"/>
      <x:c r="F132" s="28"/>
      <x:c r="G132" s="28"/>
      <x:c r="H132" s="28"/>
    </x:row>
    <x:row r="133">
      <x:c r="D133" s="28"/>
      <x:c r="E133" s="28"/>
      <x:c r="F133" s="28"/>
      <x:c r="G133" s="28"/>
      <x:c r="H133" s="28"/>
    </x:row>
    <x:row r="134">
      <x:c r="D134" s="28"/>
      <x:c r="E134" s="28"/>
      <x:c r="F134" s="28"/>
      <x:c r="G134" s="28"/>
      <x:c r="H134" s="28"/>
    </x:row>
    <x:row r="135">
      <x:c r="D135" s="28"/>
      <x:c r="E135" s="28"/>
      <x:c r="F135" s="28"/>
      <x:c r="G135" s="28"/>
      <x:c r="H135" s="28"/>
    </x:row>
    <x:row r="136">
      <x:c r="D136" s="28"/>
      <x:c r="E136" s="28"/>
      <x:c r="F136" s="28"/>
      <x:c r="G136" s="28"/>
      <x:c r="H136" s="28"/>
    </x:row>
    <x:row r="137">
      <x:c r="D137" s="28"/>
      <x:c r="E137" s="28"/>
      <x:c r="F137" s="28"/>
      <x:c r="G137" s="28"/>
      <x:c r="H137" s="28"/>
    </x:row>
    <x:row r="138">
      <x:c r="D138" s="28"/>
      <x:c r="E138" s="28"/>
      <x:c r="F138" s="28"/>
      <x:c r="G138" s="28"/>
      <x:c r="H138" s="28"/>
    </x:row>
    <x:row r="139">
      <x:c r="D139" s="28"/>
      <x:c r="E139" s="28"/>
      <x:c r="F139" s="28"/>
      <x:c r="G139" s="28"/>
      <x:c r="H139" s="28"/>
    </x:row>
    <x:row r="140">
      <x:c r="D140" s="28"/>
      <x:c r="E140" s="28"/>
      <x:c r="F140" s="28"/>
      <x:c r="G140" s="28"/>
      <x:c r="H140" s="28"/>
    </x:row>
    <x:row r="141">
      <x:c r="D141" s="28"/>
      <x:c r="E141" s="28"/>
      <x:c r="F141" s="28"/>
      <x:c r="G141" s="28"/>
      <x:c r="H141" s="28"/>
    </x:row>
    <x:row r="142">
      <x:c r="D142" s="28"/>
      <x:c r="E142" s="28"/>
      <x:c r="F142" s="28"/>
      <x:c r="G142" s="28"/>
      <x:c r="H142" s="28"/>
    </x:row>
    <x:row r="143">
      <x:c r="D143" s="28"/>
      <x:c r="E143" s="28"/>
      <x:c r="F143" s="28"/>
      <x:c r="G143" s="28"/>
      <x:c r="H143" s="28"/>
    </x:row>
    <x:row r="144">
      <x:c r="D144" s="28"/>
      <x:c r="E144" s="28"/>
      <x:c r="F144" s="28"/>
      <x:c r="G144" s="28"/>
      <x:c r="H144" s="28"/>
    </x:row>
    <x:row r="145">
      <x:c r="D145" s="28"/>
      <x:c r="E145" s="28"/>
      <x:c r="F145" s="28"/>
      <x:c r="G145" s="28"/>
      <x:c r="H145" s="28"/>
    </x:row>
    <x:row r="146">
      <x:c r="D146" s="28"/>
      <x:c r="E146" s="28"/>
      <x:c r="F146" s="28"/>
      <x:c r="G146" s="28"/>
      <x:c r="H146" s="28"/>
    </x:row>
    <x:row r="147">
      <x:c r="D147" s="28"/>
      <x:c r="E147" s="28"/>
      <x:c r="F147" s="28"/>
      <x:c r="G147" s="28"/>
      <x:c r="H147" s="28"/>
    </x:row>
    <x:row r="148">
      <x:c r="D148" s="28"/>
      <x:c r="E148" s="28"/>
      <x:c r="F148" s="28"/>
      <x:c r="G148" s="28"/>
      <x:c r="H148" s="28"/>
    </x:row>
    <x:row r="149">
      <x:c r="D149" s="28"/>
      <x:c r="E149" s="28"/>
      <x:c r="F149" s="28"/>
      <x:c r="G149" s="28"/>
      <x:c r="H149" s="28"/>
    </x:row>
    <x:row r="150">
      <x:c r="D150" s="28"/>
      <x:c r="E150" s="28"/>
      <x:c r="F150" s="28"/>
      <x:c r="G150" s="28"/>
      <x:c r="H150" s="28"/>
    </x:row>
    <x:row r="151">
      <x:c r="D151" s="28"/>
      <x:c r="E151" s="28"/>
      <x:c r="F151" s="28"/>
      <x:c r="G151" s="28"/>
      <x:c r="H151" s="28"/>
    </x:row>
    <x:row r="152">
      <x:c r="D152" s="28"/>
      <x:c r="E152" s="28"/>
      <x:c r="F152" s="28"/>
      <x:c r="G152" s="28"/>
      <x:c r="H152" s="28"/>
    </x:row>
    <x:row r="153">
      <x:c r="D153" s="28"/>
      <x:c r="E153" s="28"/>
      <x:c r="F153" s="28"/>
      <x:c r="G153" s="28"/>
      <x:c r="H153" s="28"/>
    </x:row>
    <x:row r="154">
      <x:c r="D154" s="28"/>
      <x:c r="E154" s="28"/>
      <x:c r="F154" s="28"/>
      <x:c r="G154" s="28"/>
      <x:c r="H154" s="28"/>
    </x:row>
    <x:row r="155">
      <x:c r="D155" s="28"/>
      <x:c r="E155" s="28"/>
      <x:c r="F155" s="28"/>
      <x:c r="G155" s="28"/>
      <x:c r="H155" s="28"/>
    </x:row>
    <x:row r="156">
      <x:c r="D156" s="28"/>
      <x:c r="E156" s="28"/>
      <x:c r="F156" s="28"/>
      <x:c r="G156" s="28"/>
      <x:c r="H156" s="28"/>
    </x:row>
    <x:row r="157">
      <x:c r="D157" s="28"/>
      <x:c r="E157" s="28"/>
      <x:c r="F157" s="28"/>
      <x:c r="G157" s="28"/>
      <x:c r="H157" s="28"/>
    </x:row>
    <x:row r="158">
      <x:c r="D158" s="28"/>
      <x:c r="E158" s="28"/>
      <x:c r="F158" s="28"/>
      <x:c r="G158" s="28"/>
      <x:c r="H158" s="28"/>
    </x:row>
    <x:row r="159">
      <x:c r="D159" s="28"/>
      <x:c r="E159" s="28"/>
      <x:c r="F159" s="28"/>
      <x:c r="G159" s="28"/>
      <x:c r="H159" s="28"/>
    </x:row>
    <x:row r="160">
      <x:c r="D160" s="28"/>
      <x:c r="E160" s="28"/>
      <x:c r="F160" s="28"/>
      <x:c r="G160" s="28"/>
      <x:c r="H160" s="28"/>
    </x:row>
    <x:row r="161">
      <x:c r="D161" s="28"/>
      <x:c r="E161" s="28"/>
      <x:c r="F161" s="28"/>
      <x:c r="G161" s="28"/>
      <x:c r="H161" s="28"/>
    </x:row>
    <x:row r="162">
      <x:c r="D162" s="28"/>
      <x:c r="E162" s="28"/>
      <x:c r="F162" s="28"/>
      <x:c r="G162" s="28"/>
      <x:c r="H162" s="28"/>
    </x:row>
    <x:row r="163">
      <x:c r="D163" s="28"/>
      <x:c r="E163" s="28"/>
      <x:c r="F163" s="28"/>
      <x:c r="G163" s="28"/>
      <x:c r="H163" s="28"/>
    </x:row>
    <x:row r="164">
      <x:c r="D164" s="28"/>
      <x:c r="E164" s="28"/>
      <x:c r="F164" s="28"/>
      <x:c r="G164" s="28"/>
      <x:c r="H164" s="28"/>
    </x:row>
    <x:row r="165">
      <x:c r="D165" s="28"/>
      <x:c r="E165" s="28"/>
      <x:c r="F165" s="28"/>
      <x:c r="G165" s="28"/>
      <x:c r="H165" s="28"/>
    </x:row>
    <x:row r="166">
      <x:c r="D166" s="28"/>
      <x:c r="E166" s="28"/>
      <x:c r="F166" s="28"/>
      <x:c r="G166" s="28"/>
      <x:c r="H166" s="28"/>
    </x:row>
    <x:row r="167">
      <x:c r="D167" s="28"/>
      <x:c r="E167" s="28"/>
      <x:c r="F167" s="28"/>
      <x:c r="G167" s="28"/>
      <x:c r="H167" s="28"/>
    </x:row>
    <x:row r="168">
      <x:c r="D168" s="28"/>
      <x:c r="E168" s="28"/>
      <x:c r="F168" s="28"/>
      <x:c r="G168" s="28"/>
      <x:c r="H168" s="28"/>
    </x:row>
    <x:row r="169">
      <x:c r="D169" s="28"/>
      <x:c r="E169" s="28"/>
      <x:c r="F169" s="28"/>
      <x:c r="G169" s="28"/>
      <x:c r="H169" s="28"/>
    </x:row>
    <x:row r="170">
      <x:c r="D170" s="28"/>
      <x:c r="E170" s="28"/>
      <x:c r="F170" s="28"/>
      <x:c r="G170" s="28"/>
      <x:c r="H170" s="28"/>
    </x:row>
    <x:row r="171">
      <x:c r="D171" s="28"/>
      <x:c r="E171" s="28"/>
      <x:c r="F171" s="28"/>
      <x:c r="G171" s="28"/>
      <x:c r="H171" s="28"/>
    </x:row>
    <x:row r="172">
      <x:c r="D172" s="28"/>
      <x:c r="E172" s="28"/>
      <x:c r="F172" s="28"/>
      <x:c r="G172" s="28"/>
      <x:c r="H172" s="28"/>
    </x:row>
    <x:row r="173">
      <x:c r="D173" s="28"/>
      <x:c r="E173" s="28"/>
      <x:c r="F173" s="28"/>
      <x:c r="G173" s="28"/>
      <x:c r="H173" s="28"/>
    </x:row>
    <x:row r="174">
      <x:c r="D174" s="28"/>
      <x:c r="E174" s="28"/>
      <x:c r="F174" s="28"/>
      <x:c r="G174" s="28"/>
      <x:c r="H174" s="28"/>
    </x:row>
    <x:row r="175">
      <x:c r="D175" s="28"/>
      <x:c r="E175" s="28"/>
      <x:c r="F175" s="28"/>
      <x:c r="G175" s="28"/>
      <x:c r="H175" s="28"/>
    </x:row>
    <x:row r="176">
      <x:c r="D176" s="28"/>
      <x:c r="E176" s="28"/>
      <x:c r="F176" s="28"/>
      <x:c r="G176" s="28"/>
      <x:c r="H176" s="28"/>
    </x:row>
    <x:row r="177">
      <x:c r="D177" s="28"/>
      <x:c r="E177" s="28"/>
      <x:c r="F177" s="28"/>
      <x:c r="G177" s="28"/>
      <x:c r="H177" s="28"/>
    </x:row>
    <x:row r="178">
      <x:c r="D178" s="28"/>
      <x:c r="E178" s="28"/>
      <x:c r="F178" s="28"/>
      <x:c r="G178" s="28"/>
      <x:c r="H178" s="28"/>
    </x:row>
    <x:row r="179">
      <x:c r="D179" s="28"/>
      <x:c r="E179" s="28"/>
      <x:c r="F179" s="28"/>
      <x:c r="G179" s="28"/>
      <x:c r="H179" s="28"/>
    </x:row>
    <x:row r="180">
      <x:c r="D180" s="28"/>
      <x:c r="E180" s="28"/>
      <x:c r="F180" s="28"/>
      <x:c r="G180" s="28"/>
      <x:c r="H180" s="28"/>
    </x:row>
    <x:row r="181">
      <x:c r="D181" s="28"/>
      <x:c r="E181" s="28"/>
      <x:c r="F181" s="28"/>
      <x:c r="G181" s="28"/>
      <x:c r="H181" s="28"/>
    </x:row>
    <x:row r="182">
      <x:c r="D182" s="28"/>
      <x:c r="E182" s="28"/>
      <x:c r="F182" s="28"/>
      <x:c r="G182" s="28"/>
      <x:c r="H182" s="28"/>
    </x:row>
    <x:row r="183">
      <x:c r="D183" s="28"/>
      <x:c r="E183" s="28"/>
      <x:c r="F183" s="28"/>
      <x:c r="G183" s="28"/>
      <x:c r="H183" s="28"/>
    </x:row>
    <x:row r="184">
      <x:c r="D184" s="28"/>
      <x:c r="E184" s="28"/>
      <x:c r="F184" s="28"/>
      <x:c r="G184" s="28"/>
      <x:c r="H184" s="28"/>
    </x:row>
    <x:row r="185">
      <x:c r="D185" s="28"/>
      <x:c r="E185" s="28"/>
      <x:c r="F185" s="28"/>
      <x:c r="G185" s="28"/>
      <x:c r="H185" s="28"/>
    </x:row>
    <x:row r="186">
      <x:c r="D186" s="28"/>
      <x:c r="E186" s="28"/>
      <x:c r="F186" s="28"/>
      <x:c r="G186" s="28"/>
      <x:c r="H186" s="28"/>
    </x:row>
    <x:row r="187">
      <x:c r="D187" s="28"/>
      <x:c r="E187" s="28"/>
      <x:c r="F187" s="28"/>
      <x:c r="G187" s="28"/>
      <x:c r="H187" s="28"/>
    </x:row>
    <x:row r="188">
      <x:c r="D188" s="28"/>
      <x:c r="E188" s="28"/>
      <x:c r="F188" s="28"/>
      <x:c r="G188" s="28"/>
      <x:c r="H188" s="28"/>
    </x:row>
    <x:row r="189">
      <x:c r="D189" s="28"/>
      <x:c r="E189" s="28"/>
      <x:c r="F189" s="28"/>
      <x:c r="G189" s="28"/>
      <x:c r="H189" s="28"/>
    </x:row>
    <x:row r="190">
      <x:c r="D190" s="28"/>
      <x:c r="E190" s="28"/>
      <x:c r="F190" s="28"/>
      <x:c r="G190" s="28"/>
      <x:c r="H190" s="28"/>
    </x:row>
    <x:row r="191">
      <x:c r="D191" s="28"/>
      <x:c r="E191" s="28"/>
      <x:c r="F191" s="28"/>
      <x:c r="G191" s="28"/>
      <x:c r="H191" s="28"/>
    </x:row>
    <x:row r="192">
      <x:c r="D192" s="28"/>
      <x:c r="E192" s="28"/>
      <x:c r="F192" s="28"/>
      <x:c r="G192" s="28"/>
      <x:c r="H192" s="28"/>
    </x:row>
    <x:row r="193">
      <x:c r="D193" s="28"/>
      <x:c r="E193" s="28"/>
      <x:c r="F193" s="28"/>
      <x:c r="G193" s="28"/>
      <x:c r="H193" s="28"/>
    </x:row>
    <x:row r="194">
      <x:c r="D194" s="28"/>
      <x:c r="E194" s="28"/>
      <x:c r="F194" s="28"/>
      <x:c r="G194" s="28"/>
      <x:c r="H194" s="28"/>
    </x:row>
    <x:row r="195">
      <x:c r="D195" s="28"/>
      <x:c r="E195" s="28"/>
      <x:c r="F195" s="28"/>
      <x:c r="G195" s="28"/>
      <x:c r="H195" s="28"/>
    </x:row>
    <x:row r="196">
      <x:c r="D196" s="28"/>
      <x:c r="E196" s="28"/>
      <x:c r="F196" s="28"/>
      <x:c r="G196" s="28"/>
      <x:c r="H196" s="28"/>
    </x:row>
    <x:row r="197">
      <x:c r="D197" s="28"/>
      <x:c r="E197" s="28"/>
      <x:c r="F197" s="28"/>
      <x:c r="G197" s="28"/>
      <x:c r="H197" s="28"/>
    </x:row>
    <x:row r="198">
      <x:c r="D198" s="28"/>
      <x:c r="E198" s="28"/>
      <x:c r="F198" s="28"/>
      <x:c r="G198" s="28"/>
      <x:c r="H198" s="28"/>
    </x:row>
    <x:row r="199">
      <x:c r="D199" s="28"/>
      <x:c r="E199" s="28"/>
      <x:c r="F199" s="28"/>
      <x:c r="G199" s="28"/>
      <x:c r="H199" s="28"/>
    </x:row>
    <x:row r="200">
      <x:c r="D200" s="28"/>
      <x:c r="E200" s="28"/>
      <x:c r="F200" s="28"/>
      <x:c r="G200" s="28"/>
      <x:c r="H200" s="28"/>
    </x:row>
  </x:sheetData>
  <x:mergeCells>
    <x:mergeCell ref="A1:K2"/>
  </x:mergeCells>
  <x:conditionalFormatting sqref="K5:K200">
    <x:cfRule type="expression" dxfId="2" priority="1">
      <x:formula>K5="Validated"</x:formula>
    </x:cfRule>
  </x:conditionalFormatting>
  <x:dataValidations count="3">
    <x:dataValidation type="list" sqref="E5:E200">
      <x:formula1>"Descriptive,Diagnostic,Predictive,Prescriptive"</x:formula1>
    </x:dataValidation>
    <x:dataValidation type="list" sqref="I5:I200">
      <x:formula1>"Beginner,Intermediate,Advanced"</x:formula1>
    </x:dataValidation>
    <x:dataValidation type="list" sqref="K5:K200">
      <x:formula1>"Draft,Ready,Assigned,Completed,Validated"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3292cd8fe549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4" hidden="0" customWidth="1"/>
    <x:col min="5" max="5" width="38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36" hidden="0" customWidth="1"/>
    <x:col min="11" max="11" width="24" hidden="0" customWidth="1"/>
    <x:col min="12" max="12" width="14" hidden="0" customWidth="1"/>
  </x:cols>
  <x:sheetData>
    <x:row r="1" ht="30" customHeight="1">
      <x:c r="A1" s="5" t="str">
        <x:v>ABC Retail Ltd KPI Catalog</x:v>
      </x:c>
    </x:row>
    <x:row r="4">
      <x:c r="A4" s="14" t="str">
        <x:v>KPI ID</x:v>
      </x:c>
      <x:c r="B4" s="14" t="str">
        <x:v>Department</x:v>
      </x:c>
      <x:c r="C4" s="14" t="str">
        <x:v>KPI Name</x:v>
      </x:c>
      <x:c r="D4" s="14" t="str">
        <x:v>Definition</x:v>
      </x:c>
      <x:c r="E4" s="14" t="str">
        <x:v>Calculation</x:v>
      </x:c>
      <x:c r="F4" s="14" t="str">
        <x:v>Direction</x:v>
      </x:c>
      <x:c r="G4" s="14" t="str">
        <x:v>Frequency</x:v>
      </x:c>
      <x:c r="H4" s="14" t="str">
        <x:v>Target</x:v>
      </x:c>
      <x:c r="I4" s="14" t="str">
        <x:v>Unit</x:v>
      </x:c>
      <x:c r="J4" s="14" t="str">
        <x:v>Source Tables</x:v>
      </x:c>
      <x:c r="K4" s="14" t="str">
        <x:v>Owner</x:v>
      </x:c>
      <x:c r="L4" s="14" t="str">
        <x:v>Status</x:v>
      </x:c>
    </x:row>
    <x:row r="5">
      <x:c r="A5" t="str">
        <x:v>KPI-001</x:v>
      </x:c>
      <x:c r="B5" t="str">
        <x:v>Executive</x:v>
      </x:c>
      <x:c r="C5" s="28" t="str">
        <x:v>Completed Sales Revenue</x:v>
      </x:c>
      <x:c r="D5" s="28" t="str">
        <x:v>Revenue from completed sales orders.</x:v>
      </x:c>
      <x:c r="E5" s="28" t="str">
        <x:v>SUM(TotalAmount) where OrderStatus = Completed</x:v>
      </x:c>
      <x:c r="F5" t="str">
        <x:v>Higher</x:v>
      </x:c>
      <x:c r="G5" t="str">
        <x:v>Monthly</x:v>
      </x:c>
      <x:c r="H5" t="str">
        <x:v>Branch target</x:v>
      </x:c>
      <x:c r="I5" t="str">
        <x:v>XAF</x:v>
      </x:c>
      <x:c r="J5" s="28" t="str">
        <x:v>SalesOrders</x:v>
      </x:c>
      <x:c r="K5" t="str">
        <x:v>CEO / Sales Manager</x:v>
      </x:c>
      <x:c r="L5" t="str">
        <x:v>Active</x:v>
      </x:c>
    </x:row>
    <x:row r="6">
      <x:c r="A6" t="str">
        <x:v>KPI-002</x:v>
      </x:c>
      <x:c r="B6" t="str">
        <x:v>Executive</x:v>
      </x:c>
      <x:c r="C6" s="28" t="str">
        <x:v>Gross Margin %</x:v>
      </x:c>
      <x:c r="D6" s="28" t="str">
        <x:v>Gross profit as a percentage of completed sales.</x:v>
      </x:c>
      <x:c r="E6" s="28" t="str">
        <x:v>Gross Profit / Completed Sales</x:v>
      </x:c>
      <x:c r="F6" t="str">
        <x:v>Higher</x:v>
      </x:c>
      <x:c r="G6" t="str">
        <x:v>Monthly</x:v>
      </x:c>
      <x:c r="H6" t="n">
        <x:v>25</x:v>
      </x:c>
      <x:c r="I6" t="str">
        <x:v>%</x:v>
      </x:c>
      <x:c r="J6" s="28" t="str">
        <x:v>SalesItems, SalesOrders</x:v>
      </x:c>
      <x:c r="K6" t="str">
        <x:v>CFO</x:v>
      </x:c>
      <x:c r="L6" t="str">
        <x:v>Active</x:v>
      </x:c>
    </x:row>
    <x:row r="7">
      <x:c r="A7" t="str">
        <x:v>KPI-003</x:v>
      </x:c>
      <x:c r="B7" t="str">
        <x:v>Sales</x:v>
      </x:c>
      <x:c r="C7" s="28" t="str">
        <x:v>Target Achievement %</x:v>
      </x:c>
      <x:c r="D7" s="28" t="str">
        <x:v>Actual sales compared with approved sales target.</x:v>
      </x:c>
      <x:c r="E7" s="28" t="str">
        <x:v>Actual Revenue / Revenue Target</x:v>
      </x:c>
      <x:c r="F7" t="str">
        <x:v>Higher</x:v>
      </x:c>
      <x:c r="G7" t="str">
        <x:v>Monthly</x:v>
      </x:c>
      <x:c r="H7" t="n">
        <x:v>100</x:v>
      </x:c>
      <x:c r="I7" t="str">
        <x:v>%</x:v>
      </x:c>
      <x:c r="J7" s="28" t="str">
        <x:v>SalesOrders, SalesTargets</x:v>
      </x:c>
      <x:c r="K7" t="str">
        <x:v>Sales Manager</x:v>
      </x:c>
      <x:c r="L7" t="str">
        <x:v>Active</x:v>
      </x:c>
    </x:row>
    <x:row r="8">
      <x:c r="A8" t="str">
        <x:v>KPI-004</x:v>
      </x:c>
      <x:c r="B8" t="str">
        <x:v>Sales</x:v>
      </x:c>
      <x:c r="C8" s="28" t="str">
        <x:v>Average Order Value</x:v>
      </x:c>
      <x:c r="D8" s="28" t="str">
        <x:v>Average revenue per completed order.</x:v>
      </x:c>
      <x:c r="E8" s="28" t="str">
        <x:v>Completed Sales / Completed Orders</x:v>
      </x:c>
      <x:c r="F8" t="str">
        <x:v>Higher</x:v>
      </x:c>
      <x:c r="G8" t="str">
        <x:v>Monthly</x:v>
      </x:c>
      <x:c r="H8" t="str">
        <x:v>Defined by branch</x:v>
      </x:c>
      <x:c r="I8" t="str">
        <x:v>XAF</x:v>
      </x:c>
      <x:c r="J8" s="28" t="str">
        <x:v>SalesOrders</x:v>
      </x:c>
      <x:c r="K8" t="str">
        <x:v>Sales Manager</x:v>
      </x:c>
      <x:c r="L8" t="str">
        <x:v>Active</x:v>
      </x:c>
    </x:row>
    <x:row r="9">
      <x:c r="A9" t="str">
        <x:v>KPI-005</x:v>
      </x:c>
      <x:c r="B9" t="str">
        <x:v>Finance</x:v>
      </x:c>
      <x:c r="C9" s="28" t="str">
        <x:v>Budget Variance</x:v>
      </x:c>
      <x:c r="D9" s="28" t="str">
        <x:v>Approved or revised budget less actual expenses.</x:v>
      </x:c>
      <x:c r="E9" s="28" t="str">
        <x:v>Budget - Expenses</x:v>
      </x:c>
      <x:c r="F9" t="str">
        <x:v>Higher</x:v>
      </x:c>
      <x:c r="G9" t="str">
        <x:v>Monthly</x:v>
      </x:c>
      <x:c r="H9" t="str">
        <x:v>&gt;= 0</x:v>
      </x:c>
      <x:c r="I9" t="str">
        <x:v>XAF</x:v>
      </x:c>
      <x:c r="J9" s="28" t="str">
        <x:v>Budgets, Expenses</x:v>
      </x:c>
      <x:c r="K9" t="str">
        <x:v>CFO</x:v>
      </x:c>
      <x:c r="L9" t="str">
        <x:v>Active</x:v>
      </x:c>
    </x:row>
    <x:row r="10">
      <x:c r="A10" t="str">
        <x:v>KPI-006</x:v>
      </x:c>
      <x:c r="B10" t="str">
        <x:v>Finance</x:v>
      </x:c>
      <x:c r="C10" s="28" t="str">
        <x:v>Outstanding Receivables</x:v>
      </x:c>
      <x:c r="D10" s="28" t="str">
        <x:v>Completed order value not yet paid.</x:v>
      </x:c>
      <x:c r="E10" s="28" t="str">
        <x:v>Completed Sales - Payments</x:v>
      </x:c>
      <x:c r="F10" t="str">
        <x:v>Lower</x:v>
      </x:c>
      <x:c r="G10" t="str">
        <x:v>Weekly</x:v>
      </x:c>
      <x:c r="H10" t="n">
        <x:v>0</x:v>
      </x:c>
      <x:c r="I10" t="str">
        <x:v>XAF</x:v>
      </x:c>
      <x:c r="J10" s="28" t="str">
        <x:v>SalesOrders, CustomerPayments</x:v>
      </x:c>
      <x:c r="K10" t="str">
        <x:v>Finance Manager</x:v>
      </x:c>
      <x:c r="L10" t="str">
        <x:v>Active</x:v>
      </x:c>
    </x:row>
    <x:row r="11">
      <x:c r="A11" t="str">
        <x:v>KPI-007</x:v>
      </x:c>
      <x:c r="B11" t="str">
        <x:v>HR</x:v>
      </x:c>
      <x:c r="C11" s="28" t="str">
        <x:v>Attendance Rate</x:v>
      </x:c>
      <x:c r="D11" s="28" t="str">
        <x:v>Present workdays as a percentage of expected workdays.</x:v>
      </x:c>
      <x:c r="E11" s="28" t="str">
        <x:v>Present Days / Expected Days</x:v>
      </x:c>
      <x:c r="F11" t="str">
        <x:v>Higher</x:v>
      </x:c>
      <x:c r="G11" t="str">
        <x:v>Monthly</x:v>
      </x:c>
      <x:c r="H11" t="n">
        <x:v>95</x:v>
      </x:c>
      <x:c r="I11" t="str">
        <x:v>%</x:v>
      </x:c>
      <x:c r="J11" s="28" t="str">
        <x:v>EmployeeAttendance</x:v>
      </x:c>
      <x:c r="K11" t="str">
        <x:v>HR Manager</x:v>
      </x:c>
      <x:c r="L11" t="str">
        <x:v>Active</x:v>
      </x:c>
    </x:row>
    <x:row r="12">
      <x:c r="A12" t="str">
        <x:v>KPI-008</x:v>
      </x:c>
      <x:c r="B12" t="str">
        <x:v>HR</x:v>
      </x:c>
      <x:c r="C12" s="28" t="str">
        <x:v>Payroll Cost</x:v>
      </x:c>
      <x:c r="D12" s="28" t="str">
        <x:v>Total net payroll cost for a period.</x:v>
      </x:c>
      <x:c r="E12" s="28" t="str">
        <x:v>SUM(NetSalary)</x:v>
      </x:c>
      <x:c r="F12" t="str">
        <x:v>Controlled</x:v>
      </x:c>
      <x:c r="G12" t="str">
        <x:v>Monthly</x:v>
      </x:c>
      <x:c r="H12" t="str">
        <x:v>Budget based</x:v>
      </x:c>
      <x:c r="I12" t="str">
        <x:v>XAF</x:v>
      </x:c>
      <x:c r="J12" s="28" t="str">
        <x:v>Payroll</x:v>
      </x:c>
      <x:c r="K12" t="str">
        <x:v>HR Manager / CFO</x:v>
      </x:c>
      <x:c r="L12" t="str">
        <x:v>Active</x:v>
      </x:c>
    </x:row>
    <x:row r="13">
      <x:c r="A13" t="str">
        <x:v>KPI-009</x:v>
      </x:c>
      <x:c r="B13" t="str">
        <x:v>Inventory</x:v>
      </x:c>
      <x:c r="C13" s="28" t="str">
        <x:v>Products Below Reorder Level</x:v>
      </x:c>
      <x:c r="D13" s="28" t="str">
        <x:v>Count of products whose available stock is at or below reorder level.</x:v>
      </x:c>
      <x:c r="E13" s="28" t="str">
        <x:v>COUNT where Available &lt;= ReorderLevel</x:v>
      </x:c>
      <x:c r="F13" t="str">
        <x:v>Lower</x:v>
      </x:c>
      <x:c r="G13" t="str">
        <x:v>Daily</x:v>
      </x:c>
      <x:c r="H13" t="n">
        <x:v>0</x:v>
      </x:c>
      <x:c r="I13" t="str">
        <x:v>Products</x:v>
      </x:c>
      <x:c r="J13" s="28" t="str">
        <x:v>InventoryBalance</x:v>
      </x:c>
      <x:c r="K13" t="str">
        <x:v>Inventory Manager</x:v>
      </x:c>
      <x:c r="L13" t="str">
        <x:v>Active</x:v>
      </x:c>
    </x:row>
    <x:row r="14">
      <x:c r="A14" t="str">
        <x:v>KPI-010</x:v>
      </x:c>
      <x:c r="B14" t="str">
        <x:v>Inventory</x:v>
      </x:c>
      <x:c r="C14" s="28" t="str">
        <x:v>Stock Variance Value</x:v>
      </x:c>
      <x:c r="D14" s="28" t="str">
        <x:v>Financial value of physical count differences.</x:v>
      </x:c>
      <x:c r="E14" s="28" t="str">
        <x:v>SUM(VarianceValue)</x:v>
      </x:c>
      <x:c r="F14" t="str">
        <x:v>Lower</x:v>
      </x:c>
      <x:c r="G14" t="str">
        <x:v>Per count</x:v>
      </x:c>
      <x:c r="H14" t="n">
        <x:v>0</x:v>
      </x:c>
      <x:c r="I14" t="str">
        <x:v>XAF</x:v>
      </x:c>
      <x:c r="J14" s="28" t="str">
        <x:v>StockCountItems</x:v>
      </x:c>
      <x:c r="K14" t="str">
        <x:v>Inventory Manager</x:v>
      </x:c>
      <x:c r="L14" t="str">
        <x:v>Active</x:v>
      </x:c>
    </x:row>
    <x:row r="15">
      <x:c r="A15" t="str">
        <x:v>KPI-011</x:v>
      </x:c>
      <x:c r="B15" t="str">
        <x:v>Procurement</x:v>
      </x:c>
      <x:c r="C15" s="28" t="str">
        <x:v>On-Time Supplier Delivery %</x:v>
      </x:c>
      <x:c r="D15" s="28" t="str">
        <x:v>Orders delivered on or before expected date.</x:v>
      </x:c>
      <x:c r="E15" s="28" t="str">
        <x:v>On-Time Deliveries / Total Deliveries</x:v>
      </x:c>
      <x:c r="F15" t="str">
        <x:v>Higher</x:v>
      </x:c>
      <x:c r="G15" t="str">
        <x:v>Monthly</x:v>
      </x:c>
      <x:c r="H15" t="n">
        <x:v>95</x:v>
      </x:c>
      <x:c r="I15" t="str">
        <x:v>%</x:v>
      </x:c>
      <x:c r="J15" s="28" t="str">
        <x:v>PurchaseOrders, Receipts</x:v>
      </x:c>
      <x:c r="K15" t="str">
        <x:v>Procurement Manager</x:v>
      </x:c>
      <x:c r="L15" t="str">
        <x:v>Active</x:v>
      </x:c>
    </x:row>
    <x:row r="16">
      <x:c r="A16" t="str">
        <x:v>KPI-012</x:v>
      </x:c>
      <x:c r="B16" t="str">
        <x:v>Procurement</x:v>
      </x:c>
      <x:c r="C16" s="28" t="str">
        <x:v>Purchase Spend</x:v>
      </x:c>
      <x:c r="D16" s="28" t="str">
        <x:v>Total approved purchase order value.</x:v>
      </x:c>
      <x:c r="E16" s="28" t="str">
        <x:v>SUM(TotalAmount)</x:v>
      </x:c>
      <x:c r="F16" t="str">
        <x:v>Controlled</x:v>
      </x:c>
      <x:c r="G16" t="str">
        <x:v>Monthly</x:v>
      </x:c>
      <x:c r="H16" t="str">
        <x:v>Budget based</x:v>
      </x:c>
      <x:c r="I16" t="str">
        <x:v>XAF</x:v>
      </x:c>
      <x:c r="J16" s="28" t="str">
        <x:v>PurchaseOrders</x:v>
      </x:c>
      <x:c r="K16" t="str">
        <x:v>Procurement Manager</x:v>
      </x:c>
      <x:c r="L16" t="str">
        <x:v>Active</x:v>
      </x:c>
    </x:row>
    <x:row r="17">
      <x:c r="A17" t="str">
        <x:v>KPI-013</x:v>
      </x:c>
      <x:c r="B17" t="str">
        <x:v>Logistics</x:v>
      </x:c>
      <x:c r="C17" s="28" t="str">
        <x:v>On-Time Delivery %</x:v>
      </x:c>
      <x:c r="D17" s="28" t="str">
        <x:v>Customer deliveries completed on or before expected date.</x:v>
      </x:c>
      <x:c r="E17" s="28" t="str">
        <x:v>On-Time Deliveries / Delivered Orders</x:v>
      </x:c>
      <x:c r="F17" t="str">
        <x:v>Higher</x:v>
      </x:c>
      <x:c r="G17" t="str">
        <x:v>Weekly</x:v>
      </x:c>
      <x:c r="H17" t="n">
        <x:v>95</x:v>
      </x:c>
      <x:c r="I17" t="str">
        <x:v>%</x:v>
      </x:c>
      <x:c r="J17" s="28" t="str">
        <x:v>Deliveries</x:v>
      </x:c>
      <x:c r="K17" t="str">
        <x:v>Logistics Manager</x:v>
      </x:c>
      <x:c r="L17" t="str">
        <x:v>Active</x:v>
      </x:c>
    </x:row>
    <x:row r="18">
      <x:c r="A18" t="str">
        <x:v>KPI-014</x:v>
      </x:c>
      <x:c r="B18" t="str">
        <x:v>Logistics</x:v>
      </x:c>
      <x:c r="C18" s="28" t="str">
        <x:v>Maintenance Cost per Vehicle</x:v>
      </x:c>
      <x:c r="D18" s="28" t="str">
        <x:v>Average maintenance spending for each vehicle.</x:v>
      </x:c>
      <x:c r="E18" s="28" t="str">
        <x:v>Maintenance Cost / Active Vehicles</x:v>
      </x:c>
      <x:c r="F18" t="str">
        <x:v>Lower</x:v>
      </x:c>
      <x:c r="G18" t="str">
        <x:v>Monthly</x:v>
      </x:c>
      <x:c r="H18" t="str">
        <x:v>Fleet target</x:v>
      </x:c>
      <x:c r="I18" t="str">
        <x:v>XAF</x:v>
      </x:c>
      <x:c r="J18" s="28" t="str">
        <x:v>VehicleMaintenance, Vehicles</x:v>
      </x:c>
      <x:c r="K18" t="str">
        <x:v>Logistics Manager</x:v>
      </x:c>
      <x:c r="L18" t="str">
        <x:v>Active</x:v>
      </x:c>
    </x:row>
    <x:row r="19">
      <x:c r="A19" t="str">
        <x:v>KPI-015</x:v>
      </x:c>
      <x:c r="B19" t="str">
        <x:v>Marketing</x:v>
      </x:c>
      <x:c r="C19" s="28" t="str">
        <x:v>Campaign ROI</x:v>
      </x:c>
      <x:c r="D19" s="28" t="str">
        <x:v>Return generated relative to campaign cost.</x:v>
      </x:c>
      <x:c r="E19" s="28" t="str">
        <x:v>(Campaign Revenue - Campaign Cost) / Campaign Cost</x:v>
      </x:c>
      <x:c r="F19" t="str">
        <x:v>Higher</x:v>
      </x:c>
      <x:c r="G19" t="str">
        <x:v>Per campaign</x:v>
      </x:c>
      <x:c r="H19" t="n">
        <x:v>20</x:v>
      </x:c>
      <x:c r="I19" t="str">
        <x:v>%</x:v>
      </x:c>
      <x:c r="J19" s="28" t="str">
        <x:v>Campaigns, Leads, Sales, MarketingExpenses</x:v>
      </x:c>
      <x:c r="K19" t="str">
        <x:v>Marketing Manager</x:v>
      </x:c>
      <x:c r="L19" t="str">
        <x:v>Active</x:v>
      </x:c>
    </x:row>
    <x:row r="20">
      <x:c r="A20" t="str">
        <x:v>KPI-016</x:v>
      </x:c>
      <x:c r="B20" t="str">
        <x:v>Marketing</x:v>
      </x:c>
      <x:c r="C20" s="28" t="str">
        <x:v>Lead Conversion %</x:v>
      </x:c>
      <x:c r="D20" s="28" t="str">
        <x:v>Qualified leads converted to customers.</x:v>
      </x:c>
      <x:c r="E20" s="28" t="str">
        <x:v>Converted Leads / Total Leads</x:v>
      </x:c>
      <x:c r="F20" t="str">
        <x:v>Higher</x:v>
      </x:c>
      <x:c r="G20" t="str">
        <x:v>Monthly</x:v>
      </x:c>
      <x:c r="H20" t="n">
        <x:v>15</x:v>
      </x:c>
      <x:c r="I20" t="str">
        <x:v>%</x:v>
      </x:c>
      <x:c r="J20" s="28" t="str">
        <x:v>MarketingLeads</x:v>
      </x:c>
      <x:c r="K20" t="str">
        <x:v>Marketing Manager</x:v>
      </x:c>
      <x:c r="L20" t="str">
        <x:v>Active</x:v>
      </x:c>
    </x:row>
    <x:row r="21">
      <x:c r="A21" t="str">
        <x:v>KPI-017</x:v>
      </x:c>
      <x:c r="B21" t="str">
        <x:v>Customer Service</x:v>
      </x:c>
      <x:c r="C21" s="28" t="str">
        <x:v>Complaint Resolution Time</x:v>
      </x:c>
      <x:c r="D21" s="28" t="str">
        <x:v>Average time between complaint date and resolution date.</x:v>
      </x:c>
      <x:c r="E21" s="28" t="str">
        <x:v>AVG(ResolutionDate - ComplaintDate)</x:v>
      </x:c>
      <x:c r="F21" t="str">
        <x:v>Lower</x:v>
      </x:c>
      <x:c r="G21" t="str">
        <x:v>Weekly</x:v>
      </x:c>
      <x:c r="H21" t="n">
        <x:v>3</x:v>
      </x:c>
      <x:c r="I21" t="str">
        <x:v>Days</x:v>
      </x:c>
      <x:c r="J21" s="28" t="str">
        <x:v>CustomerComplaints</x:v>
      </x:c>
      <x:c r="K21" t="str">
        <x:v>Customer Service Manager</x:v>
      </x:c>
      <x:c r="L21" t="str">
        <x:v>Active</x:v>
      </x:c>
    </x:row>
    <x:row r="22">
      <x:c r="A22" t="str">
        <x:v>KPI-018</x:v>
      </x:c>
      <x:c r="B22" t="str">
        <x:v>Customer Service</x:v>
      </x:c>
      <x:c r="C22" s="28" t="str">
        <x:v>Customer Satisfaction Score</x:v>
      </x:c>
      <x:c r="D22" s="28" t="str">
        <x:v>Average customer satisfaction rating for resolved complaints.</x:v>
      </x:c>
      <x:c r="E22" s="28" t="str">
        <x:v>AVG(SatisfactionScore)</x:v>
      </x:c>
      <x:c r="F22" t="str">
        <x:v>Higher</x:v>
      </x:c>
      <x:c r="G22" t="str">
        <x:v>Monthly</x:v>
      </x:c>
      <x:c r="H22" t="n">
        <x:v>4.2</x:v>
      </x:c>
      <x:c r="I22" t="str">
        <x:v>Score /5</x:v>
      </x:c>
      <x:c r="J22" s="28" t="str">
        <x:v>CustomerComplaints</x:v>
      </x:c>
      <x:c r="K22" t="str">
        <x:v>Customer Service Manager</x:v>
      </x:c>
      <x:c r="L22" t="str">
        <x:v>Active</x:v>
      </x:c>
    </x:row>
    <x:row r="23">
      <x:c r="A23" t="str">
        <x:v>KPI-019</x:v>
      </x:c>
      <x:c r="B23" t="str">
        <x:v>IT</x:v>
      </x:c>
      <x:c r="C23" s="28" t="str">
        <x:v>Average Ticket Resolution Time</x:v>
      </x:c>
      <x:c r="D23" s="28" t="str">
        <x:v>Average time required to resolve support tickets.</x:v>
      </x:c>
      <x:c r="E23" s="28" t="str">
        <x:v>AVG(ResolvedAt - CreatedAt)</x:v>
      </x:c>
      <x:c r="F23" t="str">
        <x:v>Lower</x:v>
      </x:c>
      <x:c r="G23" t="str">
        <x:v>Weekly</x:v>
      </x:c>
      <x:c r="H23" t="n">
        <x:v>8</x:v>
      </x:c>
      <x:c r="I23" t="str">
        <x:v>Hours</x:v>
      </x:c>
      <x:c r="J23" s="28" t="str">
        <x:v>ITSupportTickets</x:v>
      </x:c>
      <x:c r="K23" t="str">
        <x:v>IT Manager</x:v>
      </x:c>
      <x:c r="L23" t="str">
        <x:v>Active</x:v>
      </x:c>
    </x:row>
    <x:row r="24">
      <x:c r="A24" t="str">
        <x:v>KPI-020</x:v>
      </x:c>
      <x:c r="B24" t="str">
        <x:v>Security</x:v>
      </x:c>
      <x:c r="C24" s="28" t="str">
        <x:v>Mean Time to Resolve Incidents</x:v>
      </x:c>
      <x:c r="D24" s="28" t="str">
        <x:v>Average time from incident detection to resolution.</x:v>
      </x:c>
      <x:c r="E24" s="28" t="str">
        <x:v>AVG(ResolutionDate - DetectedDate)</x:v>
      </x:c>
      <x:c r="F24" t="str">
        <x:v>Lower</x:v>
      </x:c>
      <x:c r="G24" t="str">
        <x:v>Monthly</x:v>
      </x:c>
      <x:c r="H24" t="n">
        <x:v>24</x:v>
      </x:c>
      <x:c r="I24" t="str">
        <x:v>Hours</x:v>
      </x:c>
      <x:c r="J24" s="28" t="str">
        <x:v>SecurityIncidents</x:v>
      </x:c>
      <x:c r="K24" t="str">
        <x:v>Information Security Officer</x:v>
      </x:c>
      <x:c r="L24" t="str">
        <x:v>Active</x:v>
      </x:c>
    </x:row>
    <x:row r="25">
      <x:c r="A25" t="str">
        <x:v>KPI-021</x:v>
      </x:c>
      <x:c r="B25" t="str">
        <x:v>Risk and Audit</x:v>
      </x:c>
      <x:c r="C25" s="28" t="str">
        <x:v>Overdue Audit Findings</x:v>
      </x:c>
      <x:c r="D25" s="28" t="str">
        <x:v>Open findings whose due date has passed.</x:v>
      </x:c>
      <x:c r="E25" s="28" t="str">
        <x:v>COUNT(Open and DueDate &lt; Today)</x:v>
      </x:c>
      <x:c r="F25" t="str">
        <x:v>Lower</x:v>
      </x:c>
      <x:c r="G25" t="str">
        <x:v>Monthly</x:v>
      </x:c>
      <x:c r="H25" t="n">
        <x:v>0</x:v>
      </x:c>
      <x:c r="I25" t="str">
        <x:v>Findings</x:v>
      </x:c>
      <x:c r="J25" s="28" t="str">
        <x:v>AuditFindings</x:v>
      </x:c>
      <x:c r="K25" t="str">
        <x:v>Internal Audit</x:v>
      </x:c>
      <x:c r="L25" t="str">
        <x:v>Active</x:v>
      </x:c>
    </x:row>
    <x:row r="26">
      <x:c r="A26" t="str">
        <x:v>KPI-022</x:v>
      </x:c>
      <x:c r="B26" t="str">
        <x:v>BI</x:v>
      </x:c>
      <x:c r="C26" s="28" t="str">
        <x:v>KPI Validation Rate</x:v>
      </x:c>
      <x:c r="D26" s="28" t="str">
        <x:v>Percentage of published KPI results independently validated.</x:v>
      </x:c>
      <x:c r="E26" s="28" t="str">
        <x:v>Validated KPIs / Published KPIs</x:v>
      </x:c>
      <x:c r="F26" t="str">
        <x:v>Higher</x:v>
      </x:c>
      <x:c r="G26" t="str">
        <x:v>Monthly</x:v>
      </x:c>
      <x:c r="H26" t="n">
        <x:v>100</x:v>
      </x:c>
      <x:c r="I26" t="str">
        <x:v>%</x:v>
      </x:c>
      <x:c r="J26" s="28" t="str">
        <x:v>KPIDefinitions, KPIResults</x:v>
      </x:c>
      <x:c r="K26" t="str">
        <x:v>BI Manager</x:v>
      </x:c>
      <x:c r="L26" t="str">
        <x:v>Active</x:v>
      </x:c>
    </x:row>
    <x:row r="27">
      <x:c r="C27" s="28"/>
      <x:c r="D27" s="28"/>
      <x:c r="E27" s="28"/>
      <x:c r="J27" s="28"/>
    </x:row>
    <x:row r="28">
      <x:c r="C28" s="28"/>
      <x:c r="D28" s="28"/>
      <x:c r="E28" s="28"/>
      <x:c r="J28" s="28"/>
    </x:row>
    <x:row r="29">
      <x:c r="C29" s="28"/>
      <x:c r="D29" s="28"/>
      <x:c r="E29" s="28"/>
      <x:c r="J29" s="28"/>
    </x:row>
    <x:row r="30">
      <x:c r="C30" s="28"/>
      <x:c r="D30" s="28"/>
      <x:c r="E30" s="28"/>
      <x:c r="J30" s="28"/>
    </x:row>
    <x:row r="31">
      <x:c r="C31" s="28"/>
      <x:c r="D31" s="28"/>
      <x:c r="E31" s="28"/>
      <x:c r="J31" s="28"/>
    </x:row>
    <x:row r="32">
      <x:c r="C32" s="28"/>
      <x:c r="D32" s="28"/>
      <x:c r="E32" s="28"/>
      <x:c r="J32" s="28"/>
    </x:row>
    <x:row r="33">
      <x:c r="C33" s="28"/>
      <x:c r="D33" s="28"/>
      <x:c r="E33" s="28"/>
      <x:c r="J33" s="28"/>
    </x:row>
    <x:row r="34">
      <x:c r="C34" s="28"/>
      <x:c r="D34" s="28"/>
      <x:c r="E34" s="28"/>
      <x:c r="J34" s="28"/>
    </x:row>
    <x:row r="35">
      <x:c r="C35" s="28"/>
      <x:c r="D35" s="28"/>
      <x:c r="E35" s="28"/>
      <x:c r="J35" s="28"/>
    </x:row>
    <x:row r="36">
      <x:c r="C36" s="28"/>
      <x:c r="D36" s="28"/>
      <x:c r="E36" s="28"/>
      <x:c r="J36" s="28"/>
    </x:row>
    <x:row r="37">
      <x:c r="C37" s="28"/>
      <x:c r="D37" s="28"/>
      <x:c r="E37" s="28"/>
      <x:c r="J37" s="28"/>
    </x:row>
    <x:row r="38">
      <x:c r="C38" s="28"/>
      <x:c r="D38" s="28"/>
      <x:c r="E38" s="28"/>
      <x:c r="J38" s="28"/>
    </x:row>
    <x:row r="39">
      <x:c r="C39" s="28"/>
      <x:c r="D39" s="28"/>
      <x:c r="E39" s="28"/>
      <x:c r="J39" s="28"/>
    </x:row>
    <x:row r="40">
      <x:c r="C40" s="28"/>
      <x:c r="D40" s="28"/>
      <x:c r="E40" s="28"/>
      <x:c r="J40" s="28"/>
    </x:row>
    <x:row r="41">
      <x:c r="C41" s="28"/>
      <x:c r="D41" s="28"/>
      <x:c r="E41" s="28"/>
      <x:c r="J41" s="28"/>
    </x:row>
    <x:row r="42">
      <x:c r="C42" s="28"/>
      <x:c r="D42" s="28"/>
      <x:c r="E42" s="28"/>
      <x:c r="J42" s="28"/>
    </x:row>
    <x:row r="43">
      <x:c r="C43" s="28"/>
      <x:c r="D43" s="28"/>
      <x:c r="E43" s="28"/>
      <x:c r="J43" s="28"/>
    </x:row>
    <x:row r="44">
      <x:c r="C44" s="28"/>
      <x:c r="D44" s="28"/>
      <x:c r="E44" s="28"/>
      <x:c r="J44" s="28"/>
    </x:row>
    <x:row r="45">
      <x:c r="C45" s="28"/>
      <x:c r="D45" s="28"/>
      <x:c r="E45" s="28"/>
      <x:c r="J45" s="28"/>
    </x:row>
    <x:row r="46">
      <x:c r="C46" s="28"/>
      <x:c r="D46" s="28"/>
      <x:c r="E46" s="28"/>
      <x:c r="J46" s="28"/>
    </x:row>
    <x:row r="47">
      <x:c r="C47" s="28"/>
      <x:c r="D47" s="28"/>
      <x:c r="E47" s="28"/>
      <x:c r="J47" s="28"/>
    </x:row>
    <x:row r="48">
      <x:c r="C48" s="28"/>
      <x:c r="D48" s="28"/>
      <x:c r="E48" s="28"/>
      <x:c r="J48" s="28"/>
    </x:row>
    <x:row r="49">
      <x:c r="C49" s="28"/>
      <x:c r="D49" s="28"/>
      <x:c r="E49" s="28"/>
      <x:c r="J49" s="28"/>
    </x:row>
    <x:row r="50">
      <x:c r="C50" s="28"/>
      <x:c r="D50" s="28"/>
      <x:c r="E50" s="28"/>
      <x:c r="J50" s="28"/>
    </x:row>
    <x:row r="51">
      <x:c r="C51" s="28"/>
      <x:c r="D51" s="28"/>
      <x:c r="E51" s="28"/>
      <x:c r="J51" s="28"/>
    </x:row>
    <x:row r="52">
      <x:c r="C52" s="28"/>
      <x:c r="D52" s="28"/>
      <x:c r="E52" s="28"/>
      <x:c r="J52" s="28"/>
    </x:row>
    <x:row r="53">
      <x:c r="C53" s="28"/>
      <x:c r="D53" s="28"/>
      <x:c r="E53" s="28"/>
      <x:c r="J53" s="28"/>
    </x:row>
    <x:row r="54">
      <x:c r="C54" s="28"/>
      <x:c r="D54" s="28"/>
      <x:c r="E54" s="28"/>
      <x:c r="J54" s="28"/>
    </x:row>
    <x:row r="55">
      <x:c r="C55" s="28"/>
      <x:c r="D55" s="28"/>
      <x:c r="E55" s="28"/>
      <x:c r="J55" s="28"/>
    </x:row>
    <x:row r="56">
      <x:c r="C56" s="28"/>
      <x:c r="D56" s="28"/>
      <x:c r="E56" s="28"/>
      <x:c r="J56" s="28"/>
    </x:row>
    <x:row r="57">
      <x:c r="C57" s="28"/>
      <x:c r="D57" s="28"/>
      <x:c r="E57" s="28"/>
      <x:c r="J57" s="28"/>
    </x:row>
    <x:row r="58">
      <x:c r="C58" s="28"/>
      <x:c r="D58" s="28"/>
      <x:c r="E58" s="28"/>
      <x:c r="J58" s="28"/>
    </x:row>
    <x:row r="59">
      <x:c r="C59" s="28"/>
      <x:c r="D59" s="28"/>
      <x:c r="E59" s="28"/>
      <x:c r="J59" s="28"/>
    </x:row>
    <x:row r="60">
      <x:c r="C60" s="28"/>
      <x:c r="D60" s="28"/>
      <x:c r="E60" s="28"/>
      <x:c r="J60" s="28"/>
    </x:row>
    <x:row r="61">
      <x:c r="C61" s="28"/>
      <x:c r="D61" s="28"/>
      <x:c r="E61" s="28"/>
      <x:c r="J61" s="28"/>
    </x:row>
    <x:row r="62">
      <x:c r="C62" s="28"/>
      <x:c r="D62" s="28"/>
      <x:c r="E62" s="28"/>
      <x:c r="J62" s="28"/>
    </x:row>
    <x:row r="63">
      <x:c r="C63" s="28"/>
      <x:c r="D63" s="28"/>
      <x:c r="E63" s="28"/>
      <x:c r="J63" s="28"/>
    </x:row>
    <x:row r="64">
      <x:c r="C64" s="28"/>
      <x:c r="D64" s="28"/>
      <x:c r="E64" s="28"/>
      <x:c r="J64" s="28"/>
    </x:row>
    <x:row r="65">
      <x:c r="C65" s="28"/>
      <x:c r="D65" s="28"/>
      <x:c r="E65" s="28"/>
      <x:c r="J65" s="28"/>
    </x:row>
    <x:row r="66">
      <x:c r="C66" s="28"/>
      <x:c r="D66" s="28"/>
      <x:c r="E66" s="28"/>
      <x:c r="J66" s="28"/>
    </x:row>
    <x:row r="67">
      <x:c r="C67" s="28"/>
      <x:c r="D67" s="28"/>
      <x:c r="E67" s="28"/>
      <x:c r="J67" s="28"/>
    </x:row>
    <x:row r="68">
      <x:c r="C68" s="28"/>
      <x:c r="D68" s="28"/>
      <x:c r="E68" s="28"/>
      <x:c r="J68" s="28"/>
    </x:row>
    <x:row r="69">
      <x:c r="C69" s="28"/>
      <x:c r="D69" s="28"/>
      <x:c r="E69" s="28"/>
      <x:c r="J69" s="28"/>
    </x:row>
    <x:row r="70">
      <x:c r="C70" s="28"/>
      <x:c r="D70" s="28"/>
      <x:c r="E70" s="28"/>
      <x:c r="J70" s="28"/>
    </x:row>
    <x:row r="71">
      <x:c r="C71" s="28"/>
      <x:c r="D71" s="28"/>
      <x:c r="E71" s="28"/>
      <x:c r="J71" s="28"/>
    </x:row>
    <x:row r="72">
      <x:c r="C72" s="28"/>
      <x:c r="D72" s="28"/>
      <x:c r="E72" s="28"/>
      <x:c r="J72" s="28"/>
    </x:row>
    <x:row r="73">
      <x:c r="C73" s="28"/>
      <x:c r="D73" s="28"/>
      <x:c r="E73" s="28"/>
      <x:c r="J73" s="28"/>
    </x:row>
    <x:row r="74">
      <x:c r="C74" s="28"/>
      <x:c r="D74" s="28"/>
      <x:c r="E74" s="28"/>
      <x:c r="J74" s="28"/>
    </x:row>
    <x:row r="75">
      <x:c r="C75" s="28"/>
      <x:c r="D75" s="28"/>
      <x:c r="E75" s="28"/>
      <x:c r="J75" s="28"/>
    </x:row>
    <x:row r="76">
      <x:c r="C76" s="28"/>
      <x:c r="D76" s="28"/>
      <x:c r="E76" s="28"/>
      <x:c r="J76" s="28"/>
    </x:row>
    <x:row r="77">
      <x:c r="C77" s="28"/>
      <x:c r="D77" s="28"/>
      <x:c r="E77" s="28"/>
      <x:c r="J77" s="28"/>
    </x:row>
    <x:row r="78">
      <x:c r="C78" s="28"/>
      <x:c r="D78" s="28"/>
      <x:c r="E78" s="28"/>
      <x:c r="J78" s="28"/>
    </x:row>
    <x:row r="79">
      <x:c r="C79" s="28"/>
      <x:c r="D79" s="28"/>
      <x:c r="E79" s="28"/>
      <x:c r="J79" s="28"/>
    </x:row>
    <x:row r="80">
      <x:c r="C80" s="28"/>
      <x:c r="D80" s="28"/>
      <x:c r="E80" s="28"/>
      <x:c r="J80" s="28"/>
    </x:row>
    <x:row r="81">
      <x:c r="C81" s="28"/>
      <x:c r="D81" s="28"/>
      <x:c r="E81" s="28"/>
      <x:c r="J81" s="28"/>
    </x:row>
    <x:row r="82">
      <x:c r="C82" s="28"/>
      <x:c r="D82" s="28"/>
      <x:c r="E82" s="28"/>
      <x:c r="J82" s="28"/>
    </x:row>
    <x:row r="83">
      <x:c r="C83" s="28"/>
      <x:c r="D83" s="28"/>
      <x:c r="E83" s="28"/>
      <x:c r="J83" s="28"/>
    </x:row>
    <x:row r="84">
      <x:c r="C84" s="28"/>
      <x:c r="D84" s="28"/>
      <x:c r="E84" s="28"/>
      <x:c r="J84" s="28"/>
    </x:row>
    <x:row r="85">
      <x:c r="C85" s="28"/>
      <x:c r="D85" s="28"/>
      <x:c r="E85" s="28"/>
      <x:c r="J85" s="28"/>
    </x:row>
    <x:row r="86">
      <x:c r="C86" s="28"/>
      <x:c r="D86" s="28"/>
      <x:c r="E86" s="28"/>
      <x:c r="J86" s="28"/>
    </x:row>
    <x:row r="87">
      <x:c r="C87" s="28"/>
      <x:c r="D87" s="28"/>
      <x:c r="E87" s="28"/>
      <x:c r="J87" s="28"/>
    </x:row>
    <x:row r="88">
      <x:c r="C88" s="28"/>
      <x:c r="D88" s="28"/>
      <x:c r="E88" s="28"/>
      <x:c r="J88" s="28"/>
    </x:row>
    <x:row r="89">
      <x:c r="C89" s="28"/>
      <x:c r="D89" s="28"/>
      <x:c r="E89" s="28"/>
      <x:c r="J89" s="28"/>
    </x:row>
    <x:row r="90">
      <x:c r="C90" s="28"/>
      <x:c r="D90" s="28"/>
      <x:c r="E90" s="28"/>
      <x:c r="J90" s="28"/>
    </x:row>
    <x:row r="91">
      <x:c r="C91" s="28"/>
      <x:c r="D91" s="28"/>
      <x:c r="E91" s="28"/>
      <x:c r="J91" s="28"/>
    </x:row>
    <x:row r="92">
      <x:c r="C92" s="28"/>
      <x:c r="D92" s="28"/>
      <x:c r="E92" s="28"/>
      <x:c r="J92" s="28"/>
    </x:row>
    <x:row r="93">
      <x:c r="C93" s="28"/>
      <x:c r="D93" s="28"/>
      <x:c r="E93" s="28"/>
      <x:c r="J93" s="28"/>
    </x:row>
    <x:row r="94">
      <x:c r="C94" s="28"/>
      <x:c r="D94" s="28"/>
      <x:c r="E94" s="28"/>
      <x:c r="J94" s="28"/>
    </x:row>
    <x:row r="95">
      <x:c r="C95" s="28"/>
      <x:c r="D95" s="28"/>
      <x:c r="E95" s="28"/>
      <x:c r="J95" s="28"/>
    </x:row>
    <x:row r="96">
      <x:c r="C96" s="28"/>
      <x:c r="D96" s="28"/>
      <x:c r="E96" s="28"/>
      <x:c r="J96" s="28"/>
    </x:row>
    <x:row r="97">
      <x:c r="C97" s="28"/>
      <x:c r="D97" s="28"/>
      <x:c r="E97" s="28"/>
      <x:c r="J97" s="28"/>
    </x:row>
    <x:row r="98">
      <x:c r="C98" s="28"/>
      <x:c r="D98" s="28"/>
      <x:c r="E98" s="28"/>
      <x:c r="J98" s="28"/>
    </x:row>
    <x:row r="99">
      <x:c r="C99" s="28"/>
      <x:c r="D99" s="28"/>
      <x:c r="E99" s="28"/>
      <x:c r="J99" s="28"/>
    </x:row>
    <x:row r="100">
      <x:c r="C100" s="28"/>
      <x:c r="D100" s="28"/>
      <x:c r="E100" s="28"/>
      <x:c r="J100" s="28"/>
    </x:row>
  </x:sheetData>
  <x:mergeCells>
    <x:mergeCell ref="A1:L2"/>
  </x:mergeCells>
  <x:dataValidations count="2">
    <x:dataValidation type="list" sqref="F5:F100">
      <x:formula1>"Higher,Lower,Controlled"</x:formula1>
    </x:dataValidation>
    <x:dataValidation type="list" sqref="L5:L100">
      <x:formula1>"Draft,Active,Suspended,Retired"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0c4bbd73f4e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2" hidden="0" customWidth="1"/>
    <x:col min="5" max="5" width="14" hidden="0" customWidth="1"/>
    <x:col min="6" max="6" width="14" hidden="0" customWidth="1"/>
    <x:col min="7" max="7" width="20" hidden="0" customWidth="1"/>
    <x:col min="8" max="8" width="16" hidden="0" customWidth="1"/>
    <x:col min="9" max="9" width="10" hidden="0" customWidth="1"/>
    <x:col min="10" max="10" width="16" hidden="0" customWidth="1"/>
    <x:col min="11" max="11" width="36" hidden="0" customWidth="1"/>
  </x:cols>
  <x:sheetData>
    <x:row r="1" ht="30" customHeight="1">
      <x:c r="A1" s="5" t="str">
        <x:v>Departmental Case Assignment Tracker</x:v>
      </x:c>
    </x:row>
    <x:row r="4">
      <x:c r="A4" s="14" t="str">
        <x:v>Assignment ID</x:v>
      </x:c>
      <x:c r="B4" s="14" t="str">
        <x:v>Case ID</x:v>
      </x:c>
      <x:c r="C4" s="14" t="str">
        <x:v>Student / Team</x:v>
      </x:c>
      <x:c r="D4" s="14" t="str">
        <x:v>Instructor</x:v>
      </x:c>
      <x:c r="E4" s="14" t="str">
        <x:v>Assigned Date</x:v>
      </x:c>
      <x:c r="F4" s="14" t="str">
        <x:v>Due Date</x:v>
      </x:c>
      <x:c r="G4" s="14" t="str">
        <x:v>Primary Tool</x:v>
      </x:c>
      <x:c r="H4" s="14" t="str">
        <x:v>Status</x:v>
      </x:c>
      <x:c r="I4" s="14" t="str">
        <x:v>Score</x:v>
      </x:c>
      <x:c r="J4" s="14" t="str">
        <x:v>Classification</x:v>
      </x:c>
      <x:c r="K4" s="14" t="str">
        <x:v>Submission Reference</x:v>
      </x:c>
    </x:row>
    <x:row r="5">
      <x:c r="A5" t="str">
        <x:v>ASG-001</x:v>
      </x:c>
      <x:c r="B5" t="str"/>
      <x:c r="C5" t="str"/>
      <x:c r="D5" t="str"/>
      <x:c r="E5" s="30" t="str"/>
      <x:c r="F5" s="30" t="str"/>
      <x:c r="G5" t="str"/>
      <x:c r="H5" t="str">
        <x:v>Not Assigned</x:v>
      </x:c>
      <x:c r="I5" t="str"/>
      <x:c r="J5" t="str">
        <x:f>IF(I5="","",IF(I5&gt;=80,"Distinction",IF(I5&gt;=70,"Merit",IF(I5&gt;=60,"Credit",IF(I5&gt;=50,"Pass","Fail")))))</x:f>
      </x:c>
      <x:c r="K5" s="28" t="str"/>
    </x:row>
    <x:row r="6">
      <x:c r="A6" t="str">
        <x:v>ASG-002</x:v>
      </x:c>
      <x:c r="B6" t="str"/>
      <x:c r="C6" t="str"/>
      <x:c r="D6" t="str"/>
      <x:c r="E6" s="30" t="str"/>
      <x:c r="F6" s="30" t="str"/>
      <x:c r="G6" t="str"/>
      <x:c r="H6" t="str">
        <x:v>Not Assigned</x:v>
      </x:c>
      <x:c r="I6" t="str"/>
      <x:c r="J6" t="str">
        <x:f>IF(I6="","",IF(I6&gt;=80,"Distinction",IF(I6&gt;=70,"Merit",IF(I6&gt;=60,"Credit",IF(I6&gt;=50,"Pass","Fail")))))</x:f>
      </x:c>
      <x:c r="K6" s="28" t="str"/>
    </x:row>
    <x:row r="7">
      <x:c r="A7" t="str">
        <x:v>ASG-003</x:v>
      </x:c>
      <x:c r="B7" t="str"/>
      <x:c r="C7" t="str"/>
      <x:c r="D7" t="str"/>
      <x:c r="E7" s="30" t="str"/>
      <x:c r="F7" s="30" t="str"/>
      <x:c r="G7" t="str"/>
      <x:c r="H7" t="str">
        <x:v>Not Assigned</x:v>
      </x:c>
      <x:c r="I7" t="str"/>
      <x:c r="J7" t="str">
        <x:f>IF(I7="","",IF(I7&gt;=80,"Distinction",IF(I7&gt;=70,"Merit",IF(I7&gt;=60,"Credit",IF(I7&gt;=50,"Pass","Fail")))))</x:f>
      </x:c>
      <x:c r="K7" s="28" t="str"/>
    </x:row>
    <x:row r="8">
      <x:c r="A8" t="str">
        <x:v>ASG-004</x:v>
      </x:c>
      <x:c r="B8" t="str"/>
      <x:c r="C8" t="str"/>
      <x:c r="D8" t="str"/>
      <x:c r="E8" s="30" t="str"/>
      <x:c r="F8" s="30" t="str"/>
      <x:c r="G8" t="str"/>
      <x:c r="H8" t="str">
        <x:v>Not Assigned</x:v>
      </x:c>
      <x:c r="I8" t="str"/>
      <x:c r="J8" t="str">
        <x:f>IF(I8="","",IF(I8&gt;=80,"Distinction",IF(I8&gt;=70,"Merit",IF(I8&gt;=60,"Credit",IF(I8&gt;=50,"Pass","Fail")))))</x:f>
      </x:c>
      <x:c r="K8" s="28" t="str"/>
    </x:row>
    <x:row r="9">
      <x:c r="A9" t="str">
        <x:v>ASG-005</x:v>
      </x:c>
      <x:c r="B9" t="str"/>
      <x:c r="C9" t="str"/>
      <x:c r="D9" t="str"/>
      <x:c r="E9" s="30" t="str"/>
      <x:c r="F9" s="30" t="str"/>
      <x:c r="G9" t="str"/>
      <x:c r="H9" t="str">
        <x:v>Not Assigned</x:v>
      </x:c>
      <x:c r="I9" t="str"/>
      <x:c r="J9" t="str">
        <x:f>IF(I9="","",IF(I9&gt;=80,"Distinction",IF(I9&gt;=70,"Merit",IF(I9&gt;=60,"Credit",IF(I9&gt;=50,"Pass","Fail")))))</x:f>
      </x:c>
      <x:c r="K9" s="28" t="str"/>
    </x:row>
    <x:row r="10">
      <x:c r="A10" t="str">
        <x:v>ASG-006</x:v>
      </x:c>
      <x:c r="B10" t="str"/>
      <x:c r="C10" t="str"/>
      <x:c r="D10" t="str"/>
      <x:c r="E10" s="30" t="str"/>
      <x:c r="F10" s="30" t="str"/>
      <x:c r="G10" t="str"/>
      <x:c r="H10" t="str">
        <x:v>Not Assigned</x:v>
      </x:c>
      <x:c r="I10" t="str"/>
      <x:c r="J10" t="str">
        <x:f>IF(I10="","",IF(I10&gt;=80,"Distinction",IF(I10&gt;=70,"Merit",IF(I10&gt;=60,"Credit",IF(I10&gt;=50,"Pass","Fail")))))</x:f>
      </x:c>
      <x:c r="K10" s="28" t="str"/>
    </x:row>
    <x:row r="11">
      <x:c r="A11" t="str">
        <x:v>ASG-007</x:v>
      </x:c>
      <x:c r="B11" t="str"/>
      <x:c r="C11" t="str"/>
      <x:c r="D11" t="str"/>
      <x:c r="E11" s="30" t="str"/>
      <x:c r="F11" s="30" t="str"/>
      <x:c r="G11" t="str"/>
      <x:c r="H11" t="str">
        <x:v>Not Assigned</x:v>
      </x:c>
      <x:c r="I11" t="str"/>
      <x:c r="J11" t="str">
        <x:f>IF(I11="","",IF(I11&gt;=80,"Distinction",IF(I11&gt;=70,"Merit",IF(I11&gt;=60,"Credit",IF(I11&gt;=50,"Pass","Fail")))))</x:f>
      </x:c>
      <x:c r="K11" s="28" t="str"/>
    </x:row>
    <x:row r="12">
      <x:c r="A12" t="str">
        <x:v>ASG-008</x:v>
      </x:c>
      <x:c r="B12" t="str"/>
      <x:c r="C12" t="str"/>
      <x:c r="D12" t="str"/>
      <x:c r="E12" s="30" t="str"/>
      <x:c r="F12" s="30" t="str"/>
      <x:c r="G12" t="str"/>
      <x:c r="H12" t="str">
        <x:v>Not Assigned</x:v>
      </x:c>
      <x:c r="I12" t="str"/>
      <x:c r="J12" t="str">
        <x:f>IF(I12="","",IF(I12&gt;=80,"Distinction",IF(I12&gt;=70,"Merit",IF(I12&gt;=60,"Credit",IF(I12&gt;=50,"Pass","Fail")))))</x:f>
      </x:c>
      <x:c r="K12" s="28" t="str"/>
    </x:row>
    <x:row r="13">
      <x:c r="A13" t="str">
        <x:v>ASG-009</x:v>
      </x:c>
      <x:c r="B13" t="str"/>
      <x:c r="C13" t="str"/>
      <x:c r="D13" t="str"/>
      <x:c r="E13" s="30" t="str"/>
      <x:c r="F13" s="30" t="str"/>
      <x:c r="G13" t="str"/>
      <x:c r="H13" t="str">
        <x:v>Not Assigned</x:v>
      </x:c>
      <x:c r="I13" t="str"/>
      <x:c r="J13" t="str">
        <x:f>IF(I13="","",IF(I13&gt;=80,"Distinction",IF(I13&gt;=70,"Merit",IF(I13&gt;=60,"Credit",IF(I13&gt;=50,"Pass","Fail")))))</x:f>
      </x:c>
      <x:c r="K13" s="28" t="str"/>
    </x:row>
    <x:row r="14">
      <x:c r="A14" t="str">
        <x:v>ASG-010</x:v>
      </x:c>
      <x:c r="B14" t="str"/>
      <x:c r="C14" t="str"/>
      <x:c r="D14" t="str"/>
      <x:c r="E14" s="30" t="str"/>
      <x:c r="F14" s="30" t="str"/>
      <x:c r="G14" t="str"/>
      <x:c r="H14" t="str">
        <x:v>Not Assigned</x:v>
      </x:c>
      <x:c r="I14" t="str"/>
      <x:c r="J14" t="str">
        <x:f>IF(I14="","",IF(I14&gt;=80,"Distinction",IF(I14&gt;=70,"Merit",IF(I14&gt;=60,"Credit",IF(I14&gt;=50,"Pass","Fail")))))</x:f>
      </x:c>
      <x:c r="K14" s="28" t="str"/>
    </x:row>
    <x:row r="15">
      <x:c r="A15" t="str">
        <x:v>ASG-011</x:v>
      </x:c>
      <x:c r="B15" t="str"/>
      <x:c r="C15" t="str"/>
      <x:c r="D15" t="str"/>
      <x:c r="E15" s="30" t="str"/>
      <x:c r="F15" s="30" t="str"/>
      <x:c r="G15" t="str"/>
      <x:c r="H15" t="str">
        <x:v>Not Assigned</x:v>
      </x:c>
      <x:c r="I15" t="str"/>
      <x:c r="J15" t="str">
        <x:f>IF(I15="","",IF(I15&gt;=80,"Distinction",IF(I15&gt;=70,"Merit",IF(I15&gt;=60,"Credit",IF(I15&gt;=50,"Pass","Fail")))))</x:f>
      </x:c>
      <x:c r="K15" s="28" t="str"/>
    </x:row>
    <x:row r="16">
      <x:c r="A16" t="str">
        <x:v>ASG-012</x:v>
      </x:c>
      <x:c r="B16" t="str"/>
      <x:c r="C16" t="str"/>
      <x:c r="D16" t="str"/>
      <x:c r="E16" s="30" t="str"/>
      <x:c r="F16" s="30" t="str"/>
      <x:c r="G16" t="str"/>
      <x:c r="H16" t="str">
        <x:v>Not Assigned</x:v>
      </x:c>
      <x:c r="I16" t="str"/>
      <x:c r="J16" t="str">
        <x:f>IF(I16="","",IF(I16&gt;=80,"Distinction",IF(I16&gt;=70,"Merit",IF(I16&gt;=60,"Credit",IF(I16&gt;=50,"Pass","Fail")))))</x:f>
      </x:c>
      <x:c r="K16" s="28" t="str"/>
    </x:row>
    <x:row r="17">
      <x:c r="A17" t="str">
        <x:v>ASG-013</x:v>
      </x:c>
      <x:c r="B17" t="str"/>
      <x:c r="C17" t="str"/>
      <x:c r="D17" t="str"/>
      <x:c r="E17" s="30" t="str"/>
      <x:c r="F17" s="30" t="str"/>
      <x:c r="G17" t="str"/>
      <x:c r="H17" t="str">
        <x:v>Not Assigned</x:v>
      </x:c>
      <x:c r="I17" t="str"/>
      <x:c r="J17" t="str">
        <x:f>IF(I17="","",IF(I17&gt;=80,"Distinction",IF(I17&gt;=70,"Merit",IF(I17&gt;=60,"Credit",IF(I17&gt;=50,"Pass","Fail")))))</x:f>
      </x:c>
      <x:c r="K17" s="28" t="str"/>
    </x:row>
    <x:row r="18">
      <x:c r="A18" t="str">
        <x:v>ASG-014</x:v>
      </x:c>
      <x:c r="B18" t="str"/>
      <x:c r="C18" t="str"/>
      <x:c r="D18" t="str"/>
      <x:c r="E18" s="30" t="str"/>
      <x:c r="F18" s="30" t="str"/>
      <x:c r="G18" t="str"/>
      <x:c r="H18" t="str">
        <x:v>Not Assigned</x:v>
      </x:c>
      <x:c r="I18" t="str"/>
      <x:c r="J18" t="str">
        <x:f>IF(I18="","",IF(I18&gt;=80,"Distinction",IF(I18&gt;=70,"Merit",IF(I18&gt;=60,"Credit",IF(I18&gt;=50,"Pass","Fail")))))</x:f>
      </x:c>
      <x:c r="K18" s="28" t="str"/>
    </x:row>
    <x:row r="19">
      <x:c r="A19" t="str">
        <x:v>ASG-015</x:v>
      </x:c>
      <x:c r="B19" t="str"/>
      <x:c r="C19" t="str"/>
      <x:c r="D19" t="str"/>
      <x:c r="E19" s="30" t="str"/>
      <x:c r="F19" s="30" t="str"/>
      <x:c r="G19" t="str"/>
      <x:c r="H19" t="str">
        <x:v>Not Assigned</x:v>
      </x:c>
      <x:c r="I19" t="str"/>
      <x:c r="J19" t="str">
        <x:f>IF(I19="","",IF(I19&gt;=80,"Distinction",IF(I19&gt;=70,"Merit",IF(I19&gt;=60,"Credit",IF(I19&gt;=50,"Pass","Fail")))))</x:f>
      </x:c>
      <x:c r="K19" s="28" t="str"/>
    </x:row>
    <x:row r="20">
      <x:c r="A20" t="str">
        <x:v>ASG-016</x:v>
      </x:c>
      <x:c r="B20" t="str"/>
      <x:c r="C20" t="str"/>
      <x:c r="D20" t="str"/>
      <x:c r="E20" s="30" t="str"/>
      <x:c r="F20" s="30" t="str"/>
      <x:c r="G20" t="str"/>
      <x:c r="H20" t="str">
        <x:v>Not Assigned</x:v>
      </x:c>
      <x:c r="I20" t="str"/>
      <x:c r="J20" t="str">
        <x:f>IF(I20="","",IF(I20&gt;=80,"Distinction",IF(I20&gt;=70,"Merit",IF(I20&gt;=60,"Credit",IF(I20&gt;=50,"Pass","Fail")))))</x:f>
      </x:c>
      <x:c r="K20" s="28" t="str"/>
    </x:row>
    <x:row r="21">
      <x:c r="A21" t="str">
        <x:v>ASG-017</x:v>
      </x:c>
      <x:c r="B21" t="str"/>
      <x:c r="C21" t="str"/>
      <x:c r="D21" t="str"/>
      <x:c r="E21" s="30" t="str"/>
      <x:c r="F21" s="30" t="str"/>
      <x:c r="G21" t="str"/>
      <x:c r="H21" t="str">
        <x:v>Not Assigned</x:v>
      </x:c>
      <x:c r="I21" t="str"/>
      <x:c r="J21" t="str">
        <x:f>IF(I21="","",IF(I21&gt;=80,"Distinction",IF(I21&gt;=70,"Merit",IF(I21&gt;=60,"Credit",IF(I21&gt;=50,"Pass","Fail")))))</x:f>
      </x:c>
      <x:c r="K21" s="28" t="str"/>
    </x:row>
    <x:row r="22">
      <x:c r="A22" t="str">
        <x:v>ASG-018</x:v>
      </x:c>
      <x:c r="B22" t="str"/>
      <x:c r="C22" t="str"/>
      <x:c r="D22" t="str"/>
      <x:c r="E22" s="30" t="str"/>
      <x:c r="F22" s="30" t="str"/>
      <x:c r="G22" t="str"/>
      <x:c r="H22" t="str">
        <x:v>Not Assigned</x:v>
      </x:c>
      <x:c r="I22" t="str"/>
      <x:c r="J22" t="str">
        <x:f>IF(I22="","",IF(I22&gt;=80,"Distinction",IF(I22&gt;=70,"Merit",IF(I22&gt;=60,"Credit",IF(I22&gt;=50,"Pass","Fail")))))</x:f>
      </x:c>
      <x:c r="K22" s="28" t="str"/>
    </x:row>
    <x:row r="23">
      <x:c r="A23" t="str">
        <x:v>ASG-019</x:v>
      </x:c>
      <x:c r="B23" t="str"/>
      <x:c r="C23" t="str"/>
      <x:c r="D23" t="str"/>
      <x:c r="E23" s="30" t="str"/>
      <x:c r="F23" s="30" t="str"/>
      <x:c r="G23" t="str"/>
      <x:c r="H23" t="str">
        <x:v>Not Assigned</x:v>
      </x:c>
      <x:c r="I23" t="str"/>
      <x:c r="J23" t="str">
        <x:f>IF(I23="","",IF(I23&gt;=80,"Distinction",IF(I23&gt;=70,"Merit",IF(I23&gt;=60,"Credit",IF(I23&gt;=50,"Pass","Fail")))))</x:f>
      </x:c>
      <x:c r="K23" s="28" t="str"/>
    </x:row>
    <x:row r="24">
      <x:c r="A24" t="str">
        <x:v>ASG-020</x:v>
      </x:c>
      <x:c r="B24" t="str"/>
      <x:c r="C24" t="str"/>
      <x:c r="D24" t="str"/>
      <x:c r="E24" s="30" t="str"/>
      <x:c r="F24" s="30" t="str"/>
      <x:c r="G24" t="str"/>
      <x:c r="H24" t="str">
        <x:v>Not Assigned</x:v>
      </x:c>
      <x:c r="I24" t="str"/>
      <x:c r="J24" t="str">
        <x:f>IF(I24="","",IF(I24&gt;=80,"Distinction",IF(I24&gt;=70,"Merit",IF(I24&gt;=60,"Credit",IF(I24&gt;=50,"Pass","Fail")))))</x:f>
      </x:c>
      <x:c r="K24" s="28" t="str"/>
    </x:row>
    <x:row r="25">
      <x:c r="A25" t="str">
        <x:v>ASG-021</x:v>
      </x:c>
      <x:c r="B25" t="str"/>
      <x:c r="C25" t="str"/>
      <x:c r="D25" t="str"/>
      <x:c r="E25" s="30" t="str"/>
      <x:c r="F25" s="30" t="str"/>
      <x:c r="G25" t="str"/>
      <x:c r="H25" t="str">
        <x:v>Not Assigned</x:v>
      </x:c>
      <x:c r="I25" t="str"/>
      <x:c r="J25" t="str">
        <x:f>IF(I25="","",IF(I25&gt;=80,"Distinction",IF(I25&gt;=70,"Merit",IF(I25&gt;=60,"Credit",IF(I25&gt;=50,"Pass","Fail")))))</x:f>
      </x:c>
      <x:c r="K25" s="28" t="str"/>
    </x:row>
    <x:row r="26">
      <x:c r="A26" t="str">
        <x:v>ASG-022</x:v>
      </x:c>
      <x:c r="B26" t="str"/>
      <x:c r="C26" t="str"/>
      <x:c r="D26" t="str"/>
      <x:c r="E26" s="30" t="str"/>
      <x:c r="F26" s="30" t="str"/>
      <x:c r="G26" t="str"/>
      <x:c r="H26" t="str">
        <x:v>Not Assigned</x:v>
      </x:c>
      <x:c r="I26" t="str"/>
      <x:c r="J26" t="str">
        <x:f>IF(I26="","",IF(I26&gt;=80,"Distinction",IF(I26&gt;=70,"Merit",IF(I26&gt;=60,"Credit",IF(I26&gt;=50,"Pass","Fail")))))</x:f>
      </x:c>
      <x:c r="K26" s="28" t="str"/>
    </x:row>
    <x:row r="27">
      <x:c r="A27" t="str">
        <x:v>ASG-023</x:v>
      </x:c>
      <x:c r="B27" t="str"/>
      <x:c r="C27" t="str"/>
      <x:c r="D27" t="str"/>
      <x:c r="E27" s="30" t="str"/>
      <x:c r="F27" s="30" t="str"/>
      <x:c r="G27" t="str"/>
      <x:c r="H27" t="str">
        <x:v>Not Assigned</x:v>
      </x:c>
      <x:c r="I27" t="str"/>
      <x:c r="J27" t="str">
        <x:f>IF(I27="","",IF(I27&gt;=80,"Distinction",IF(I27&gt;=70,"Merit",IF(I27&gt;=60,"Credit",IF(I27&gt;=50,"Pass","Fail")))))</x:f>
      </x:c>
      <x:c r="K27" s="28" t="str"/>
    </x:row>
    <x:row r="28">
      <x:c r="A28" t="str">
        <x:v>ASG-024</x:v>
      </x:c>
      <x:c r="B28" t="str"/>
      <x:c r="C28" t="str"/>
      <x:c r="D28" t="str"/>
      <x:c r="E28" s="30" t="str"/>
      <x:c r="F28" s="30" t="str"/>
      <x:c r="G28" t="str"/>
      <x:c r="H28" t="str">
        <x:v>Not Assigned</x:v>
      </x:c>
      <x:c r="I28" t="str"/>
      <x:c r="J28" t="str">
        <x:f>IF(I28="","",IF(I28&gt;=80,"Distinction",IF(I28&gt;=70,"Merit",IF(I28&gt;=60,"Credit",IF(I28&gt;=50,"Pass","Fail")))))</x:f>
      </x:c>
      <x:c r="K28" s="28" t="str"/>
    </x:row>
    <x:row r="29">
      <x:c r="A29" t="str">
        <x:v>ASG-025</x:v>
      </x:c>
      <x:c r="B29" t="str"/>
      <x:c r="C29" t="str"/>
      <x:c r="D29" t="str"/>
      <x:c r="E29" s="30" t="str"/>
      <x:c r="F29" s="30" t="str"/>
      <x:c r="G29" t="str"/>
      <x:c r="H29" t="str">
        <x:v>Not Assigned</x:v>
      </x:c>
      <x:c r="I29" t="str"/>
      <x:c r="J29" t="str">
        <x:f>IF(I29="","",IF(I29&gt;=80,"Distinction",IF(I29&gt;=70,"Merit",IF(I29&gt;=60,"Credit",IF(I29&gt;=50,"Pass","Fail")))))</x:f>
      </x:c>
      <x:c r="K29" s="28" t="str"/>
    </x:row>
    <x:row r="30">
      <x:c r="A30" t="str">
        <x:v>ASG-026</x:v>
      </x:c>
      <x:c r="B30" t="str"/>
      <x:c r="C30" t="str"/>
      <x:c r="D30" t="str"/>
      <x:c r="E30" s="30" t="str"/>
      <x:c r="F30" s="30" t="str"/>
      <x:c r="G30" t="str"/>
      <x:c r="H30" t="str">
        <x:v>Not Assigned</x:v>
      </x:c>
      <x:c r="I30" t="str"/>
      <x:c r="J30" t="str">
        <x:f>IF(I30="","",IF(I30&gt;=80,"Distinction",IF(I30&gt;=70,"Merit",IF(I30&gt;=60,"Credit",IF(I30&gt;=50,"Pass","Fail")))))</x:f>
      </x:c>
      <x:c r="K30" s="28" t="str"/>
    </x:row>
    <x:row r="31">
      <x:c r="A31" t="str">
        <x:v>ASG-027</x:v>
      </x:c>
      <x:c r="B31" t="str"/>
      <x:c r="C31" t="str"/>
      <x:c r="D31" t="str"/>
      <x:c r="E31" s="30" t="str"/>
      <x:c r="F31" s="30" t="str"/>
      <x:c r="G31" t="str"/>
      <x:c r="H31" t="str">
        <x:v>Not Assigned</x:v>
      </x:c>
      <x:c r="I31" t="str"/>
      <x:c r="J31" t="str">
        <x:f>IF(I31="","",IF(I31&gt;=80,"Distinction",IF(I31&gt;=70,"Merit",IF(I31&gt;=60,"Credit",IF(I31&gt;=50,"Pass","Fail")))))</x:f>
      </x:c>
      <x:c r="K31" s="28" t="str"/>
    </x:row>
    <x:row r="32">
      <x:c r="A32" t="str">
        <x:v>ASG-028</x:v>
      </x:c>
      <x:c r="B32" t="str"/>
      <x:c r="C32" t="str"/>
      <x:c r="D32" t="str"/>
      <x:c r="E32" s="30" t="str"/>
      <x:c r="F32" s="30" t="str"/>
      <x:c r="G32" t="str"/>
      <x:c r="H32" t="str">
        <x:v>Not Assigned</x:v>
      </x:c>
      <x:c r="I32" t="str"/>
      <x:c r="J32" t="str">
        <x:f>IF(I32="","",IF(I32&gt;=80,"Distinction",IF(I32&gt;=70,"Merit",IF(I32&gt;=60,"Credit",IF(I32&gt;=50,"Pass","Fail")))))</x:f>
      </x:c>
      <x:c r="K32" s="28" t="str"/>
    </x:row>
    <x:row r="33">
      <x:c r="A33" t="str">
        <x:v>ASG-029</x:v>
      </x:c>
      <x:c r="B33" t="str"/>
      <x:c r="C33" t="str"/>
      <x:c r="D33" t="str"/>
      <x:c r="E33" s="30" t="str"/>
      <x:c r="F33" s="30" t="str"/>
      <x:c r="G33" t="str"/>
      <x:c r="H33" t="str">
        <x:v>Not Assigned</x:v>
      </x:c>
      <x:c r="I33" t="str"/>
      <x:c r="J33" t="str">
        <x:f>IF(I33="","",IF(I33&gt;=80,"Distinction",IF(I33&gt;=70,"Merit",IF(I33&gt;=60,"Credit",IF(I33&gt;=50,"Pass","Fail")))))</x:f>
      </x:c>
      <x:c r="K33" s="28" t="str"/>
    </x:row>
    <x:row r="34">
      <x:c r="A34" t="str">
        <x:v>ASG-030</x:v>
      </x:c>
      <x:c r="B34" t="str"/>
      <x:c r="C34" t="str"/>
      <x:c r="D34" t="str"/>
      <x:c r="E34" s="30" t="str"/>
      <x:c r="F34" s="30" t="str"/>
      <x:c r="G34" t="str"/>
      <x:c r="H34" t="str">
        <x:v>Not Assigned</x:v>
      </x:c>
      <x:c r="I34" t="str"/>
      <x:c r="J34" t="str">
        <x:f>IF(I34="","",IF(I34&gt;=80,"Distinction",IF(I34&gt;=70,"Merit",IF(I34&gt;=60,"Credit",IF(I34&gt;=50,"Pass","Fail")))))</x:f>
      </x:c>
      <x:c r="K34" s="28" t="str"/>
    </x:row>
    <x:row r="35">
      <x:c r="A35" t="str">
        <x:v>ASG-031</x:v>
      </x:c>
      <x:c r="B35" t="str"/>
      <x:c r="C35" t="str"/>
      <x:c r="D35" t="str"/>
      <x:c r="E35" s="30" t="str"/>
      <x:c r="F35" s="30" t="str"/>
      <x:c r="G35" t="str"/>
      <x:c r="H35" t="str">
        <x:v>Not Assigned</x:v>
      </x:c>
      <x:c r="I35" t="str"/>
      <x:c r="J35" t="str">
        <x:f>IF(I35="","",IF(I35&gt;=80,"Distinction",IF(I35&gt;=70,"Merit",IF(I35&gt;=60,"Credit",IF(I35&gt;=50,"Pass","Fail")))))</x:f>
      </x:c>
      <x:c r="K35" s="28" t="str"/>
    </x:row>
    <x:row r="36">
      <x:c r="A36" t="str">
        <x:v>ASG-032</x:v>
      </x:c>
      <x:c r="B36" t="str"/>
      <x:c r="C36" t="str"/>
      <x:c r="D36" t="str"/>
      <x:c r="E36" s="30" t="str"/>
      <x:c r="F36" s="30" t="str"/>
      <x:c r="G36" t="str"/>
      <x:c r="H36" t="str">
        <x:v>Not Assigned</x:v>
      </x:c>
      <x:c r="I36" t="str"/>
      <x:c r="J36" t="str">
        <x:f>IF(I36="","",IF(I36&gt;=80,"Distinction",IF(I36&gt;=70,"Merit",IF(I36&gt;=60,"Credit",IF(I36&gt;=50,"Pass","Fail")))))</x:f>
      </x:c>
      <x:c r="K36" s="28" t="str"/>
    </x:row>
    <x:row r="37">
      <x:c r="A37" t="str">
        <x:v>ASG-033</x:v>
      </x:c>
      <x:c r="B37" t="str"/>
      <x:c r="C37" t="str"/>
      <x:c r="D37" t="str"/>
      <x:c r="E37" s="30" t="str"/>
      <x:c r="F37" s="30" t="str"/>
      <x:c r="G37" t="str"/>
      <x:c r="H37" t="str">
        <x:v>Not Assigned</x:v>
      </x:c>
      <x:c r="I37" t="str"/>
      <x:c r="J37" t="str">
        <x:f>IF(I37="","",IF(I37&gt;=80,"Distinction",IF(I37&gt;=70,"Merit",IF(I37&gt;=60,"Credit",IF(I37&gt;=50,"Pass","Fail")))))</x:f>
      </x:c>
      <x:c r="K37" s="28" t="str"/>
    </x:row>
    <x:row r="38">
      <x:c r="A38" t="str">
        <x:v>ASG-034</x:v>
      </x:c>
      <x:c r="B38" t="str"/>
      <x:c r="C38" t="str"/>
      <x:c r="D38" t="str"/>
      <x:c r="E38" s="30" t="str"/>
      <x:c r="F38" s="30" t="str"/>
      <x:c r="G38" t="str"/>
      <x:c r="H38" t="str">
        <x:v>Not Assigned</x:v>
      </x:c>
      <x:c r="I38" t="str"/>
      <x:c r="J38" t="str">
        <x:f>IF(I38="","",IF(I38&gt;=80,"Distinction",IF(I38&gt;=70,"Merit",IF(I38&gt;=60,"Credit",IF(I38&gt;=50,"Pass","Fail")))))</x:f>
      </x:c>
      <x:c r="K38" s="28" t="str"/>
    </x:row>
    <x:row r="39">
      <x:c r="A39" t="str">
        <x:v>ASG-035</x:v>
      </x:c>
      <x:c r="B39" t="str"/>
      <x:c r="C39" t="str"/>
      <x:c r="D39" t="str"/>
      <x:c r="E39" s="30" t="str"/>
      <x:c r="F39" s="30" t="str"/>
      <x:c r="G39" t="str"/>
      <x:c r="H39" t="str">
        <x:v>Not Assigned</x:v>
      </x:c>
      <x:c r="I39" t="str"/>
      <x:c r="J39" t="str">
        <x:f>IF(I39="","",IF(I39&gt;=80,"Distinction",IF(I39&gt;=70,"Merit",IF(I39&gt;=60,"Credit",IF(I39&gt;=50,"Pass","Fail")))))</x:f>
      </x:c>
      <x:c r="K39" s="28" t="str"/>
    </x:row>
    <x:row r="40">
      <x:c r="A40" t="str">
        <x:v>ASG-036</x:v>
      </x:c>
      <x:c r="B40" t="str"/>
      <x:c r="C40" t="str"/>
      <x:c r="D40" t="str"/>
      <x:c r="E40" s="30" t="str"/>
      <x:c r="F40" s="30" t="str"/>
      <x:c r="G40" t="str"/>
      <x:c r="H40" t="str">
        <x:v>Not Assigned</x:v>
      </x:c>
      <x:c r="I40" t="str"/>
      <x:c r="J40" t="str">
        <x:f>IF(I40="","",IF(I40&gt;=80,"Distinction",IF(I40&gt;=70,"Merit",IF(I40&gt;=60,"Credit",IF(I40&gt;=50,"Pass","Fail")))))</x:f>
      </x:c>
      <x:c r="K40" s="28" t="str"/>
    </x:row>
    <x:row r="41">
      <x:c r="A41" t="str">
        <x:v>ASG-037</x:v>
      </x:c>
      <x:c r="B41" t="str"/>
      <x:c r="C41" t="str"/>
      <x:c r="D41" t="str"/>
      <x:c r="E41" s="30" t="str"/>
      <x:c r="F41" s="30" t="str"/>
      <x:c r="G41" t="str"/>
      <x:c r="H41" t="str">
        <x:v>Not Assigned</x:v>
      </x:c>
      <x:c r="I41" t="str"/>
      <x:c r="J41" t="str">
        <x:f>IF(I41="","",IF(I41&gt;=80,"Distinction",IF(I41&gt;=70,"Merit",IF(I41&gt;=60,"Credit",IF(I41&gt;=50,"Pass","Fail")))))</x:f>
      </x:c>
      <x:c r="K41" s="28" t="str"/>
    </x:row>
    <x:row r="42">
      <x:c r="A42" t="str">
        <x:v>ASG-038</x:v>
      </x:c>
      <x:c r="B42" t="str"/>
      <x:c r="C42" t="str"/>
      <x:c r="D42" t="str"/>
      <x:c r="E42" s="30" t="str"/>
      <x:c r="F42" s="30" t="str"/>
      <x:c r="G42" t="str"/>
      <x:c r="H42" t="str">
        <x:v>Not Assigned</x:v>
      </x:c>
      <x:c r="I42" t="str"/>
      <x:c r="J42" t="str">
        <x:f>IF(I42="","",IF(I42&gt;=80,"Distinction",IF(I42&gt;=70,"Merit",IF(I42&gt;=60,"Credit",IF(I42&gt;=50,"Pass","Fail")))))</x:f>
      </x:c>
      <x:c r="K42" s="28" t="str"/>
    </x:row>
    <x:row r="43">
      <x:c r="A43" t="str">
        <x:v>ASG-039</x:v>
      </x:c>
      <x:c r="B43" t="str"/>
      <x:c r="C43" t="str"/>
      <x:c r="D43" t="str"/>
      <x:c r="E43" s="30" t="str"/>
      <x:c r="F43" s="30" t="str"/>
      <x:c r="G43" t="str"/>
      <x:c r="H43" t="str">
        <x:v>Not Assigned</x:v>
      </x:c>
      <x:c r="I43" t="str"/>
      <x:c r="J43" t="str">
        <x:f>IF(I43="","",IF(I43&gt;=80,"Distinction",IF(I43&gt;=70,"Merit",IF(I43&gt;=60,"Credit",IF(I43&gt;=50,"Pass","Fail")))))</x:f>
      </x:c>
      <x:c r="K43" s="28" t="str"/>
    </x:row>
    <x:row r="44">
      <x:c r="A44" t="str">
        <x:v>ASG-040</x:v>
      </x:c>
      <x:c r="B44" t="str"/>
      <x:c r="C44" t="str"/>
      <x:c r="D44" t="str"/>
      <x:c r="E44" s="30" t="str"/>
      <x:c r="F44" s="30" t="str"/>
      <x:c r="G44" t="str"/>
      <x:c r="H44" t="str">
        <x:v>Not Assigned</x:v>
      </x:c>
      <x:c r="I44" t="str"/>
      <x:c r="J44" t="str">
        <x:f>IF(I44="","",IF(I44&gt;=80,"Distinction",IF(I44&gt;=70,"Merit",IF(I44&gt;=60,"Credit",IF(I44&gt;=50,"Pass","Fail")))))</x:f>
      </x:c>
      <x:c r="K44" s="28" t="str"/>
    </x:row>
  </x:sheetData>
  <x:mergeCells>
    <x:mergeCell ref="A1:K2"/>
  </x:mergeCells>
  <x:conditionalFormatting sqref="H5:H44">
    <x:cfRule type="expression" dxfId="3" priority="1">
      <x:formula>H5="Completed"</x:formula>
    </x:cfRule>
    <x:cfRule type="expression" dxfId="4" priority="2">
      <x:formula>H5="In Progress"</x:formula>
    </x:cfRule>
  </x:conditionalFormatting>
  <x:dataValidations count="2">
    <x:dataValidation type="list" sqref="H5:H44">
      <x:formula1>"Not Assigned,Assigned,In Progress,Submitted,Returned,Completed"</x:formula1>
    </x:dataValidation>
    <x:dataValidation operator="between" sqref="I5:I44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eda2553db5844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0" hidden="0" customWidth="1"/>
    <x:col min="5" max="5" width="34" hidden="0" customWidth="1"/>
    <x:col min="6" max="6" width="38" hidden="0" customWidth="1"/>
    <x:col min="7" max="7" width="34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30" customHeight="1">
      <x:c r="A1" s="5" t="str">
        <x:v>Analytical Evidence and Validation Log</x:v>
      </x:c>
    </x:row>
    <x:row r="4">
      <x:c r="A4" s="14" t="str">
        <x:v>Evidence ID</x:v>
      </x:c>
      <x:c r="B4" s="14" t="str">
        <x:v>Assignment ID</x:v>
      </x:c>
      <x:c r="C4" s="14" t="str">
        <x:v>Question ID</x:v>
      </x:c>
      <x:c r="D4" s="14" t="str">
        <x:v>Evidence Type</x:v>
      </x:c>
      <x:c r="E4" s="14" t="str">
        <x:v>File / Query / Measure</x:v>
      </x:c>
      <x:c r="F4" s="14" t="str">
        <x:v>Result Summary</x:v>
      </x:c>
      <x:c r="G4" s="14" t="str">
        <x:v>Validation Method</x:v>
      </x:c>
      <x:c r="H4" s="14" t="str">
        <x:v>Validation Status</x:v>
      </x:c>
      <x:c r="I4" s="14" t="str">
        <x:v>Reviewer</x:v>
      </x:c>
      <x:c r="J4" s="14" t="str">
        <x:v>Review Date</x:v>
      </x:c>
    </x:row>
    <x:row r="5">
      <x:c r="A5" t="str">
        <x:v>EVD-001</x:v>
      </x:c>
      <x:c r="B5" t="str"/>
      <x:c r="C5" t="str"/>
      <x:c r="D5" t="str"/>
      <x:c r="E5" s="28" t="str"/>
      <x:c r="F5" s="28" t="str"/>
      <x:c r="G5" s="28" t="str"/>
      <x:c r="H5" t="str">
        <x:v>Not Reviewed</x:v>
      </x:c>
      <x:c r="I5" t="str"/>
      <x:c r="J5" s="30" t="str"/>
    </x:row>
    <x:row r="6">
      <x:c r="A6" t="str">
        <x:v>EVD-002</x:v>
      </x:c>
      <x:c r="B6" t="str"/>
      <x:c r="C6" t="str"/>
      <x:c r="D6" t="str"/>
      <x:c r="E6" s="28" t="str"/>
      <x:c r="F6" s="28" t="str"/>
      <x:c r="G6" s="28" t="str"/>
      <x:c r="H6" t="str">
        <x:v>Not Reviewed</x:v>
      </x:c>
      <x:c r="I6" t="str"/>
      <x:c r="J6" s="30" t="str"/>
    </x:row>
    <x:row r="7">
      <x:c r="A7" t="str">
        <x:v>EVD-003</x:v>
      </x:c>
      <x:c r="B7" t="str"/>
      <x:c r="C7" t="str"/>
      <x:c r="D7" t="str"/>
      <x:c r="E7" s="28" t="str"/>
      <x:c r="F7" s="28" t="str"/>
      <x:c r="G7" s="28" t="str"/>
      <x:c r="H7" t="str">
        <x:v>Not Reviewed</x:v>
      </x:c>
      <x:c r="I7" t="str"/>
      <x:c r="J7" s="30" t="str"/>
    </x:row>
    <x:row r="8">
      <x:c r="A8" t="str">
        <x:v>EVD-004</x:v>
      </x:c>
      <x:c r="B8" t="str"/>
      <x:c r="C8" t="str"/>
      <x:c r="D8" t="str"/>
      <x:c r="E8" s="28" t="str"/>
      <x:c r="F8" s="28" t="str"/>
      <x:c r="G8" s="28" t="str"/>
      <x:c r="H8" t="str">
        <x:v>Not Reviewed</x:v>
      </x:c>
      <x:c r="I8" t="str"/>
      <x:c r="J8" s="30" t="str"/>
    </x:row>
    <x:row r="9">
      <x:c r="A9" t="str">
        <x:v>EVD-005</x:v>
      </x:c>
      <x:c r="B9" t="str"/>
      <x:c r="C9" t="str"/>
      <x:c r="D9" t="str"/>
      <x:c r="E9" s="28" t="str"/>
      <x:c r="F9" s="28" t="str"/>
      <x:c r="G9" s="28" t="str"/>
      <x:c r="H9" t="str">
        <x:v>Not Reviewed</x:v>
      </x:c>
      <x:c r="I9" t="str"/>
      <x:c r="J9" s="30" t="str"/>
    </x:row>
    <x:row r="10">
      <x:c r="A10" t="str">
        <x:v>EVD-006</x:v>
      </x:c>
      <x:c r="B10" t="str"/>
      <x:c r="C10" t="str"/>
      <x:c r="D10" t="str"/>
      <x:c r="E10" s="28" t="str"/>
      <x:c r="F10" s="28" t="str"/>
      <x:c r="G10" s="28" t="str"/>
      <x:c r="H10" t="str">
        <x:v>Not Reviewed</x:v>
      </x:c>
      <x:c r="I10" t="str"/>
      <x:c r="J10" s="30" t="str"/>
    </x:row>
    <x:row r="11">
      <x:c r="A11" t="str">
        <x:v>EVD-007</x:v>
      </x:c>
      <x:c r="B11" t="str"/>
      <x:c r="C11" t="str"/>
      <x:c r="D11" t="str"/>
      <x:c r="E11" s="28" t="str"/>
      <x:c r="F11" s="28" t="str"/>
      <x:c r="G11" s="28" t="str"/>
      <x:c r="H11" t="str">
        <x:v>Not Reviewed</x:v>
      </x:c>
      <x:c r="I11" t="str"/>
      <x:c r="J11" s="30" t="str"/>
    </x:row>
    <x:row r="12">
      <x:c r="A12" t="str">
        <x:v>EVD-008</x:v>
      </x:c>
      <x:c r="B12" t="str"/>
      <x:c r="C12" t="str"/>
      <x:c r="D12" t="str"/>
      <x:c r="E12" s="28" t="str"/>
      <x:c r="F12" s="28" t="str"/>
      <x:c r="G12" s="28" t="str"/>
      <x:c r="H12" t="str">
        <x:v>Not Reviewed</x:v>
      </x:c>
      <x:c r="I12" t="str"/>
      <x:c r="J12" s="30" t="str"/>
    </x:row>
    <x:row r="13">
      <x:c r="A13" t="str">
        <x:v>EVD-009</x:v>
      </x:c>
      <x:c r="B13" t="str"/>
      <x:c r="C13" t="str"/>
      <x:c r="D13" t="str"/>
      <x:c r="E13" s="28" t="str"/>
      <x:c r="F13" s="28" t="str"/>
      <x:c r="G13" s="28" t="str"/>
      <x:c r="H13" t="str">
        <x:v>Not Reviewed</x:v>
      </x:c>
      <x:c r="I13" t="str"/>
      <x:c r="J13" s="30" t="str"/>
    </x:row>
    <x:row r="14">
      <x:c r="A14" t="str">
        <x:v>EVD-010</x:v>
      </x:c>
      <x:c r="B14" t="str"/>
      <x:c r="C14" t="str"/>
      <x:c r="D14" t="str"/>
      <x:c r="E14" s="28" t="str"/>
      <x:c r="F14" s="28" t="str"/>
      <x:c r="G14" s="28" t="str"/>
      <x:c r="H14" t="str">
        <x:v>Not Reviewed</x:v>
      </x:c>
      <x:c r="I14" t="str"/>
      <x:c r="J14" s="30" t="str"/>
    </x:row>
    <x:row r="15">
      <x:c r="A15" t="str">
        <x:v>EVD-011</x:v>
      </x:c>
      <x:c r="B15" t="str"/>
      <x:c r="C15" t="str"/>
      <x:c r="D15" t="str"/>
      <x:c r="E15" s="28" t="str"/>
      <x:c r="F15" s="28" t="str"/>
      <x:c r="G15" s="28" t="str"/>
      <x:c r="H15" t="str">
        <x:v>Not Reviewed</x:v>
      </x:c>
      <x:c r="I15" t="str"/>
      <x:c r="J15" s="30" t="str"/>
    </x:row>
    <x:row r="16">
      <x:c r="A16" t="str">
        <x:v>EVD-012</x:v>
      </x:c>
      <x:c r="B16" t="str"/>
      <x:c r="C16" t="str"/>
      <x:c r="D16" t="str"/>
      <x:c r="E16" s="28" t="str"/>
      <x:c r="F16" s="28" t="str"/>
      <x:c r="G16" s="28" t="str"/>
      <x:c r="H16" t="str">
        <x:v>Not Reviewed</x:v>
      </x:c>
      <x:c r="I16" t="str"/>
      <x:c r="J16" s="30" t="str"/>
    </x:row>
    <x:row r="17">
      <x:c r="A17" t="str">
        <x:v>EVD-013</x:v>
      </x:c>
      <x:c r="B17" t="str"/>
      <x:c r="C17" t="str"/>
      <x:c r="D17" t="str"/>
      <x:c r="E17" s="28" t="str"/>
      <x:c r="F17" s="28" t="str"/>
      <x:c r="G17" s="28" t="str"/>
      <x:c r="H17" t="str">
        <x:v>Not Reviewed</x:v>
      </x:c>
      <x:c r="I17" t="str"/>
      <x:c r="J17" s="30" t="str"/>
    </x:row>
    <x:row r="18">
      <x:c r="A18" t="str">
        <x:v>EVD-014</x:v>
      </x:c>
      <x:c r="B18" t="str"/>
      <x:c r="C18" t="str"/>
      <x:c r="D18" t="str"/>
      <x:c r="E18" s="28" t="str"/>
      <x:c r="F18" s="28" t="str"/>
      <x:c r="G18" s="28" t="str"/>
      <x:c r="H18" t="str">
        <x:v>Not Reviewed</x:v>
      </x:c>
      <x:c r="I18" t="str"/>
      <x:c r="J18" s="30" t="str"/>
    </x:row>
    <x:row r="19">
      <x:c r="A19" t="str">
        <x:v>EVD-015</x:v>
      </x:c>
      <x:c r="B19" t="str"/>
      <x:c r="C19" t="str"/>
      <x:c r="D19" t="str"/>
      <x:c r="E19" s="28" t="str"/>
      <x:c r="F19" s="28" t="str"/>
      <x:c r="G19" s="28" t="str"/>
      <x:c r="H19" t="str">
        <x:v>Not Reviewed</x:v>
      </x:c>
      <x:c r="I19" t="str"/>
      <x:c r="J19" s="30" t="str"/>
    </x:row>
    <x:row r="20">
      <x:c r="A20" t="str">
        <x:v>EVD-016</x:v>
      </x:c>
      <x:c r="B20" t="str"/>
      <x:c r="C20" t="str"/>
      <x:c r="D20" t="str"/>
      <x:c r="E20" s="28" t="str"/>
      <x:c r="F20" s="28" t="str"/>
      <x:c r="G20" s="28" t="str"/>
      <x:c r="H20" t="str">
        <x:v>Not Reviewed</x:v>
      </x:c>
      <x:c r="I20" t="str"/>
      <x:c r="J20" s="30" t="str"/>
    </x:row>
    <x:row r="21">
      <x:c r="A21" t="str">
        <x:v>EVD-017</x:v>
      </x:c>
      <x:c r="B21" t="str"/>
      <x:c r="C21" t="str"/>
      <x:c r="D21" t="str"/>
      <x:c r="E21" s="28" t="str"/>
      <x:c r="F21" s="28" t="str"/>
      <x:c r="G21" s="28" t="str"/>
      <x:c r="H21" t="str">
        <x:v>Not Reviewed</x:v>
      </x:c>
      <x:c r="I21" t="str"/>
      <x:c r="J21" s="30" t="str"/>
    </x:row>
    <x:row r="22">
      <x:c r="A22" t="str">
        <x:v>EVD-018</x:v>
      </x:c>
      <x:c r="B22" t="str"/>
      <x:c r="C22" t="str"/>
      <x:c r="D22" t="str"/>
      <x:c r="E22" s="28" t="str"/>
      <x:c r="F22" s="28" t="str"/>
      <x:c r="G22" s="28" t="str"/>
      <x:c r="H22" t="str">
        <x:v>Not Reviewed</x:v>
      </x:c>
      <x:c r="I22" t="str"/>
      <x:c r="J22" s="30" t="str"/>
    </x:row>
    <x:row r="23">
      <x:c r="A23" t="str">
        <x:v>EVD-019</x:v>
      </x:c>
      <x:c r="B23" t="str"/>
      <x:c r="C23" t="str"/>
      <x:c r="D23" t="str"/>
      <x:c r="E23" s="28" t="str"/>
      <x:c r="F23" s="28" t="str"/>
      <x:c r="G23" s="28" t="str"/>
      <x:c r="H23" t="str">
        <x:v>Not Reviewed</x:v>
      </x:c>
      <x:c r="I23" t="str"/>
      <x:c r="J23" s="30" t="str"/>
    </x:row>
    <x:row r="24">
      <x:c r="A24" t="str">
        <x:v>EVD-020</x:v>
      </x:c>
      <x:c r="B24" t="str"/>
      <x:c r="C24" t="str"/>
      <x:c r="D24" t="str"/>
      <x:c r="E24" s="28" t="str"/>
      <x:c r="F24" s="28" t="str"/>
      <x:c r="G24" s="28" t="str"/>
      <x:c r="H24" t="str">
        <x:v>Not Reviewed</x:v>
      </x:c>
      <x:c r="I24" t="str"/>
      <x:c r="J24" s="30" t="str"/>
    </x:row>
    <x:row r="25">
      <x:c r="A25" t="str">
        <x:v>EVD-021</x:v>
      </x:c>
      <x:c r="B25" t="str"/>
      <x:c r="C25" t="str"/>
      <x:c r="D25" t="str"/>
      <x:c r="E25" s="28" t="str"/>
      <x:c r="F25" s="28" t="str"/>
      <x:c r="G25" s="28" t="str"/>
      <x:c r="H25" t="str">
        <x:v>Not Reviewed</x:v>
      </x:c>
      <x:c r="I25" t="str"/>
      <x:c r="J25" s="30" t="str"/>
    </x:row>
    <x:row r="26">
      <x:c r="A26" t="str">
        <x:v>EVD-022</x:v>
      </x:c>
      <x:c r="B26" t="str"/>
      <x:c r="C26" t="str"/>
      <x:c r="D26" t="str"/>
      <x:c r="E26" s="28" t="str"/>
      <x:c r="F26" s="28" t="str"/>
      <x:c r="G26" s="28" t="str"/>
      <x:c r="H26" t="str">
        <x:v>Not Reviewed</x:v>
      </x:c>
      <x:c r="I26" t="str"/>
      <x:c r="J26" s="30" t="str"/>
    </x:row>
    <x:row r="27">
      <x:c r="A27" t="str">
        <x:v>EVD-023</x:v>
      </x:c>
      <x:c r="B27" t="str"/>
      <x:c r="C27" t="str"/>
      <x:c r="D27" t="str"/>
      <x:c r="E27" s="28" t="str"/>
      <x:c r="F27" s="28" t="str"/>
      <x:c r="G27" s="28" t="str"/>
      <x:c r="H27" t="str">
        <x:v>Not Reviewed</x:v>
      </x:c>
      <x:c r="I27" t="str"/>
      <x:c r="J27" s="30" t="str"/>
    </x:row>
    <x:row r="28">
      <x:c r="A28" t="str">
        <x:v>EVD-024</x:v>
      </x:c>
      <x:c r="B28" t="str"/>
      <x:c r="C28" t="str"/>
      <x:c r="D28" t="str"/>
      <x:c r="E28" s="28" t="str"/>
      <x:c r="F28" s="28" t="str"/>
      <x:c r="G28" s="28" t="str"/>
      <x:c r="H28" t="str">
        <x:v>Not Reviewed</x:v>
      </x:c>
      <x:c r="I28" t="str"/>
      <x:c r="J28" s="30" t="str"/>
    </x:row>
    <x:row r="29">
      <x:c r="A29" t="str">
        <x:v>EVD-025</x:v>
      </x:c>
      <x:c r="B29" t="str"/>
      <x:c r="C29" t="str"/>
      <x:c r="D29" t="str"/>
      <x:c r="E29" s="28" t="str"/>
      <x:c r="F29" s="28" t="str"/>
      <x:c r="G29" s="28" t="str"/>
      <x:c r="H29" t="str">
        <x:v>Not Reviewed</x:v>
      </x:c>
      <x:c r="I29" t="str"/>
      <x:c r="J29" s="30" t="str"/>
    </x:row>
    <x:row r="30">
      <x:c r="A30" t="str">
        <x:v>EVD-026</x:v>
      </x:c>
      <x:c r="B30" t="str"/>
      <x:c r="C30" t="str"/>
      <x:c r="D30" t="str"/>
      <x:c r="E30" s="28" t="str"/>
      <x:c r="F30" s="28" t="str"/>
      <x:c r="G30" s="28" t="str"/>
      <x:c r="H30" t="str">
        <x:v>Not Reviewed</x:v>
      </x:c>
      <x:c r="I30" t="str"/>
      <x:c r="J30" s="30" t="str"/>
    </x:row>
    <x:row r="31">
      <x:c r="A31" t="str">
        <x:v>EVD-027</x:v>
      </x:c>
      <x:c r="B31" t="str"/>
      <x:c r="C31" t="str"/>
      <x:c r="D31" t="str"/>
      <x:c r="E31" s="28" t="str"/>
      <x:c r="F31" s="28" t="str"/>
      <x:c r="G31" s="28" t="str"/>
      <x:c r="H31" t="str">
        <x:v>Not Reviewed</x:v>
      </x:c>
      <x:c r="I31" t="str"/>
      <x:c r="J31" s="30" t="str"/>
    </x:row>
    <x:row r="32">
      <x:c r="A32" t="str">
        <x:v>EVD-028</x:v>
      </x:c>
      <x:c r="B32" t="str"/>
      <x:c r="C32" t="str"/>
      <x:c r="D32" t="str"/>
      <x:c r="E32" s="28" t="str"/>
      <x:c r="F32" s="28" t="str"/>
      <x:c r="G32" s="28" t="str"/>
      <x:c r="H32" t="str">
        <x:v>Not Reviewed</x:v>
      </x:c>
      <x:c r="I32" t="str"/>
      <x:c r="J32" s="30" t="str"/>
    </x:row>
    <x:row r="33">
      <x:c r="A33" t="str">
        <x:v>EVD-029</x:v>
      </x:c>
      <x:c r="B33" t="str"/>
      <x:c r="C33" t="str"/>
      <x:c r="D33" t="str"/>
      <x:c r="E33" s="28" t="str"/>
      <x:c r="F33" s="28" t="str"/>
      <x:c r="G33" s="28" t="str"/>
      <x:c r="H33" t="str">
        <x:v>Not Reviewed</x:v>
      </x:c>
      <x:c r="I33" t="str"/>
      <x:c r="J33" s="30" t="str"/>
    </x:row>
    <x:row r="34">
      <x:c r="A34" t="str">
        <x:v>EVD-030</x:v>
      </x:c>
      <x:c r="B34" t="str"/>
      <x:c r="C34" t="str"/>
      <x:c r="D34" t="str"/>
      <x:c r="E34" s="28" t="str"/>
      <x:c r="F34" s="28" t="str"/>
      <x:c r="G34" s="28" t="str"/>
      <x:c r="H34" t="str">
        <x:v>Not Reviewed</x:v>
      </x:c>
      <x:c r="I34" t="str"/>
      <x:c r="J34" s="30" t="str"/>
    </x:row>
    <x:row r="35">
      <x:c r="A35" t="str">
        <x:v>EVD-031</x:v>
      </x:c>
      <x:c r="B35" t="str"/>
      <x:c r="C35" t="str"/>
      <x:c r="D35" t="str"/>
      <x:c r="E35" s="28" t="str"/>
      <x:c r="F35" s="28" t="str"/>
      <x:c r="G35" s="28" t="str"/>
      <x:c r="H35" t="str">
        <x:v>Not Reviewed</x:v>
      </x:c>
      <x:c r="I35" t="str"/>
      <x:c r="J35" s="30" t="str"/>
    </x:row>
    <x:row r="36">
      <x:c r="A36" t="str">
        <x:v>EVD-032</x:v>
      </x:c>
      <x:c r="B36" t="str"/>
      <x:c r="C36" t="str"/>
      <x:c r="D36" t="str"/>
      <x:c r="E36" s="28" t="str"/>
      <x:c r="F36" s="28" t="str"/>
      <x:c r="G36" s="28" t="str"/>
      <x:c r="H36" t="str">
        <x:v>Not Reviewed</x:v>
      </x:c>
      <x:c r="I36" t="str"/>
      <x:c r="J36" s="30" t="str"/>
    </x:row>
    <x:row r="37">
      <x:c r="A37" t="str">
        <x:v>EVD-033</x:v>
      </x:c>
      <x:c r="B37" t="str"/>
      <x:c r="C37" t="str"/>
      <x:c r="D37" t="str"/>
      <x:c r="E37" s="28" t="str"/>
      <x:c r="F37" s="28" t="str"/>
      <x:c r="G37" s="28" t="str"/>
      <x:c r="H37" t="str">
        <x:v>Not Reviewed</x:v>
      </x:c>
      <x:c r="I37" t="str"/>
      <x:c r="J37" s="30" t="str"/>
    </x:row>
    <x:row r="38">
      <x:c r="A38" t="str">
        <x:v>EVD-034</x:v>
      </x:c>
      <x:c r="B38" t="str"/>
      <x:c r="C38" t="str"/>
      <x:c r="D38" t="str"/>
      <x:c r="E38" s="28" t="str"/>
      <x:c r="F38" s="28" t="str"/>
      <x:c r="G38" s="28" t="str"/>
      <x:c r="H38" t="str">
        <x:v>Not Reviewed</x:v>
      </x:c>
      <x:c r="I38" t="str"/>
      <x:c r="J38" s="30" t="str"/>
    </x:row>
    <x:row r="39">
      <x:c r="A39" t="str">
        <x:v>EVD-035</x:v>
      </x:c>
      <x:c r="B39" t="str"/>
      <x:c r="C39" t="str"/>
      <x:c r="D39" t="str"/>
      <x:c r="E39" s="28" t="str"/>
      <x:c r="F39" s="28" t="str"/>
      <x:c r="G39" s="28" t="str"/>
      <x:c r="H39" t="str">
        <x:v>Not Reviewed</x:v>
      </x:c>
      <x:c r="I39" t="str"/>
      <x:c r="J39" s="30" t="str"/>
    </x:row>
    <x:row r="40">
      <x:c r="A40" t="str">
        <x:v>EVD-036</x:v>
      </x:c>
      <x:c r="B40" t="str"/>
      <x:c r="C40" t="str"/>
      <x:c r="D40" t="str"/>
      <x:c r="E40" s="28" t="str"/>
      <x:c r="F40" s="28" t="str"/>
      <x:c r="G40" s="28" t="str"/>
      <x:c r="H40" t="str">
        <x:v>Not Reviewed</x:v>
      </x:c>
      <x:c r="I40" t="str"/>
      <x:c r="J40" s="30" t="str"/>
    </x:row>
    <x:row r="41">
      <x:c r="A41" t="str">
        <x:v>EVD-037</x:v>
      </x:c>
      <x:c r="B41" t="str"/>
      <x:c r="C41" t="str"/>
      <x:c r="D41" t="str"/>
      <x:c r="E41" s="28" t="str"/>
      <x:c r="F41" s="28" t="str"/>
      <x:c r="G41" s="28" t="str"/>
      <x:c r="H41" t="str">
        <x:v>Not Reviewed</x:v>
      </x:c>
      <x:c r="I41" t="str"/>
      <x:c r="J41" s="30" t="str"/>
    </x:row>
    <x:row r="42">
      <x:c r="A42" t="str">
        <x:v>EVD-038</x:v>
      </x:c>
      <x:c r="B42" t="str"/>
      <x:c r="C42" t="str"/>
      <x:c r="D42" t="str"/>
      <x:c r="E42" s="28" t="str"/>
      <x:c r="F42" s="28" t="str"/>
      <x:c r="G42" s="28" t="str"/>
      <x:c r="H42" t="str">
        <x:v>Not Reviewed</x:v>
      </x:c>
      <x:c r="I42" t="str"/>
      <x:c r="J42" s="30" t="str"/>
    </x:row>
    <x:row r="43">
      <x:c r="A43" t="str">
        <x:v>EVD-039</x:v>
      </x:c>
      <x:c r="B43" t="str"/>
      <x:c r="C43" t="str"/>
      <x:c r="D43" t="str"/>
      <x:c r="E43" s="28" t="str"/>
      <x:c r="F43" s="28" t="str"/>
      <x:c r="G43" s="28" t="str"/>
      <x:c r="H43" t="str">
        <x:v>Not Reviewed</x:v>
      </x:c>
      <x:c r="I43" t="str"/>
      <x:c r="J43" s="30" t="str"/>
    </x:row>
    <x:row r="44">
      <x:c r="A44" t="str">
        <x:v>EVD-040</x:v>
      </x:c>
      <x:c r="B44" t="str"/>
      <x:c r="C44" t="str"/>
      <x:c r="D44" t="str"/>
      <x:c r="E44" s="28" t="str"/>
      <x:c r="F44" s="28" t="str"/>
      <x:c r="G44" s="28" t="str"/>
      <x:c r="H44" t="str">
        <x:v>Not Reviewed</x:v>
      </x:c>
      <x:c r="I44" t="str"/>
      <x:c r="J44" s="30" t="str"/>
    </x:row>
    <x:row r="45">
      <x:c r="A45" t="str">
        <x:v>EVD-041</x:v>
      </x:c>
      <x:c r="B45" t="str"/>
      <x:c r="C45" t="str"/>
      <x:c r="D45" t="str"/>
      <x:c r="E45" s="28" t="str"/>
      <x:c r="F45" s="28" t="str"/>
      <x:c r="G45" s="28" t="str"/>
      <x:c r="H45" t="str">
        <x:v>Not Reviewed</x:v>
      </x:c>
      <x:c r="I45" t="str"/>
      <x:c r="J45" s="30" t="str"/>
    </x:row>
    <x:row r="46">
      <x:c r="A46" t="str">
        <x:v>EVD-042</x:v>
      </x:c>
      <x:c r="B46" t="str"/>
      <x:c r="C46" t="str"/>
      <x:c r="D46" t="str"/>
      <x:c r="E46" s="28" t="str"/>
      <x:c r="F46" s="28" t="str"/>
      <x:c r="G46" s="28" t="str"/>
      <x:c r="H46" t="str">
        <x:v>Not Reviewed</x:v>
      </x:c>
      <x:c r="I46" t="str"/>
      <x:c r="J46" s="30" t="str"/>
    </x:row>
    <x:row r="47">
      <x:c r="A47" t="str">
        <x:v>EVD-043</x:v>
      </x:c>
      <x:c r="B47" t="str"/>
      <x:c r="C47" t="str"/>
      <x:c r="D47" t="str"/>
      <x:c r="E47" s="28" t="str"/>
      <x:c r="F47" s="28" t="str"/>
      <x:c r="G47" s="28" t="str"/>
      <x:c r="H47" t="str">
        <x:v>Not Reviewed</x:v>
      </x:c>
      <x:c r="I47" t="str"/>
      <x:c r="J47" s="30" t="str"/>
    </x:row>
    <x:row r="48">
      <x:c r="A48" t="str">
        <x:v>EVD-044</x:v>
      </x:c>
      <x:c r="B48" t="str"/>
      <x:c r="C48" t="str"/>
      <x:c r="D48" t="str"/>
      <x:c r="E48" s="28" t="str"/>
      <x:c r="F48" s="28" t="str"/>
      <x:c r="G48" s="28" t="str"/>
      <x:c r="H48" t="str">
        <x:v>Not Reviewed</x:v>
      </x:c>
      <x:c r="I48" t="str"/>
      <x:c r="J48" s="30" t="str"/>
    </x:row>
    <x:row r="49">
      <x:c r="A49" t="str">
        <x:v>EVD-045</x:v>
      </x:c>
      <x:c r="B49" t="str"/>
      <x:c r="C49" t="str"/>
      <x:c r="D49" t="str"/>
      <x:c r="E49" s="28" t="str"/>
      <x:c r="F49" s="28" t="str"/>
      <x:c r="G49" s="28" t="str"/>
      <x:c r="H49" t="str">
        <x:v>Not Reviewed</x:v>
      </x:c>
      <x:c r="I49" t="str"/>
      <x:c r="J49" s="30" t="str"/>
    </x:row>
    <x:row r="50">
      <x:c r="A50" t="str">
        <x:v>EVD-046</x:v>
      </x:c>
      <x:c r="B50" t="str"/>
      <x:c r="C50" t="str"/>
      <x:c r="D50" t="str"/>
      <x:c r="E50" s="28" t="str"/>
      <x:c r="F50" s="28" t="str"/>
      <x:c r="G50" s="28" t="str"/>
      <x:c r="H50" t="str">
        <x:v>Not Reviewed</x:v>
      </x:c>
      <x:c r="I50" t="str"/>
      <x:c r="J50" s="30" t="str"/>
    </x:row>
    <x:row r="51">
      <x:c r="A51" t="str">
        <x:v>EVD-047</x:v>
      </x:c>
      <x:c r="B51" t="str"/>
      <x:c r="C51" t="str"/>
      <x:c r="D51" t="str"/>
      <x:c r="E51" s="28" t="str"/>
      <x:c r="F51" s="28" t="str"/>
      <x:c r="G51" s="28" t="str"/>
      <x:c r="H51" t="str">
        <x:v>Not Reviewed</x:v>
      </x:c>
      <x:c r="I51" t="str"/>
      <x:c r="J51" s="30" t="str"/>
    </x:row>
    <x:row r="52">
      <x:c r="A52" t="str">
        <x:v>EVD-048</x:v>
      </x:c>
      <x:c r="B52" t="str"/>
      <x:c r="C52" t="str"/>
      <x:c r="D52" t="str"/>
      <x:c r="E52" s="28" t="str"/>
      <x:c r="F52" s="28" t="str"/>
      <x:c r="G52" s="28" t="str"/>
      <x:c r="H52" t="str">
        <x:v>Not Reviewed</x:v>
      </x:c>
      <x:c r="I52" t="str"/>
      <x:c r="J52" s="30" t="str"/>
    </x:row>
    <x:row r="53">
      <x:c r="A53" t="str">
        <x:v>EVD-049</x:v>
      </x:c>
      <x:c r="B53" t="str"/>
      <x:c r="C53" t="str"/>
      <x:c r="D53" t="str"/>
      <x:c r="E53" s="28" t="str"/>
      <x:c r="F53" s="28" t="str"/>
      <x:c r="G53" s="28" t="str"/>
      <x:c r="H53" t="str">
        <x:v>Not Reviewed</x:v>
      </x:c>
      <x:c r="I53" t="str"/>
      <x:c r="J53" s="30" t="str"/>
    </x:row>
    <x:row r="54">
      <x:c r="A54" t="str">
        <x:v>EVD-050</x:v>
      </x:c>
      <x:c r="B54" t="str"/>
      <x:c r="C54" t="str"/>
      <x:c r="D54" t="str"/>
      <x:c r="E54" s="28" t="str"/>
      <x:c r="F54" s="28" t="str"/>
      <x:c r="G54" s="28" t="str"/>
      <x:c r="H54" t="str">
        <x:v>Not Reviewed</x:v>
      </x:c>
      <x:c r="I54" t="str"/>
      <x:c r="J54" s="30" t="str"/>
    </x:row>
    <x:row r="55">
      <x:c r="A55" t="str">
        <x:v>EVD-051</x:v>
      </x:c>
      <x:c r="B55" t="str"/>
      <x:c r="C55" t="str"/>
      <x:c r="D55" t="str"/>
      <x:c r="E55" s="28" t="str"/>
      <x:c r="F55" s="28" t="str"/>
      <x:c r="G55" s="28" t="str"/>
      <x:c r="H55" t="str">
        <x:v>Not Reviewed</x:v>
      </x:c>
      <x:c r="I55" t="str"/>
      <x:c r="J55" s="30" t="str"/>
    </x:row>
    <x:row r="56">
      <x:c r="A56" t="str">
        <x:v>EVD-052</x:v>
      </x:c>
      <x:c r="B56" t="str"/>
      <x:c r="C56" t="str"/>
      <x:c r="D56" t="str"/>
      <x:c r="E56" s="28" t="str"/>
      <x:c r="F56" s="28" t="str"/>
      <x:c r="G56" s="28" t="str"/>
      <x:c r="H56" t="str">
        <x:v>Not Reviewed</x:v>
      </x:c>
      <x:c r="I56" t="str"/>
      <x:c r="J56" s="30" t="str"/>
    </x:row>
    <x:row r="57">
      <x:c r="A57" t="str">
        <x:v>EVD-053</x:v>
      </x:c>
      <x:c r="B57" t="str"/>
      <x:c r="C57" t="str"/>
      <x:c r="D57" t="str"/>
      <x:c r="E57" s="28" t="str"/>
      <x:c r="F57" s="28" t="str"/>
      <x:c r="G57" s="28" t="str"/>
      <x:c r="H57" t="str">
        <x:v>Not Reviewed</x:v>
      </x:c>
      <x:c r="I57" t="str"/>
      <x:c r="J57" s="30" t="str"/>
    </x:row>
    <x:row r="58">
      <x:c r="A58" t="str">
        <x:v>EVD-054</x:v>
      </x:c>
      <x:c r="B58" t="str"/>
      <x:c r="C58" t="str"/>
      <x:c r="D58" t="str"/>
      <x:c r="E58" s="28" t="str"/>
      <x:c r="F58" s="28" t="str"/>
      <x:c r="G58" s="28" t="str"/>
      <x:c r="H58" t="str">
        <x:v>Not Reviewed</x:v>
      </x:c>
      <x:c r="I58" t="str"/>
      <x:c r="J58" s="30" t="str"/>
    </x:row>
    <x:row r="59">
      <x:c r="A59" t="str">
        <x:v>EVD-055</x:v>
      </x:c>
      <x:c r="B59" t="str"/>
      <x:c r="C59" t="str"/>
      <x:c r="D59" t="str"/>
      <x:c r="E59" s="28" t="str"/>
      <x:c r="F59" s="28" t="str"/>
      <x:c r="G59" s="28" t="str"/>
      <x:c r="H59" t="str">
        <x:v>Not Reviewed</x:v>
      </x:c>
      <x:c r="I59" t="str"/>
      <x:c r="J59" s="30" t="str"/>
    </x:row>
    <x:row r="60">
      <x:c r="A60" t="str">
        <x:v>EVD-056</x:v>
      </x:c>
      <x:c r="B60" t="str"/>
      <x:c r="C60" t="str"/>
      <x:c r="D60" t="str"/>
      <x:c r="E60" s="28" t="str"/>
      <x:c r="F60" s="28" t="str"/>
      <x:c r="G60" s="28" t="str"/>
      <x:c r="H60" t="str">
        <x:v>Not Reviewed</x:v>
      </x:c>
      <x:c r="I60" t="str"/>
      <x:c r="J60" s="30" t="str"/>
    </x:row>
    <x:row r="61">
      <x:c r="A61" t="str">
        <x:v>EVD-057</x:v>
      </x:c>
      <x:c r="B61" t="str"/>
      <x:c r="C61" t="str"/>
      <x:c r="D61" t="str"/>
      <x:c r="E61" s="28" t="str"/>
      <x:c r="F61" s="28" t="str"/>
      <x:c r="G61" s="28" t="str"/>
      <x:c r="H61" t="str">
        <x:v>Not Reviewed</x:v>
      </x:c>
      <x:c r="I61" t="str"/>
      <x:c r="J61" s="30" t="str"/>
    </x:row>
    <x:row r="62">
      <x:c r="A62" t="str">
        <x:v>EVD-058</x:v>
      </x:c>
      <x:c r="B62" t="str"/>
      <x:c r="C62" t="str"/>
      <x:c r="D62" t="str"/>
      <x:c r="E62" s="28" t="str"/>
      <x:c r="F62" s="28" t="str"/>
      <x:c r="G62" s="28" t="str"/>
      <x:c r="H62" t="str">
        <x:v>Not Reviewed</x:v>
      </x:c>
      <x:c r="I62" t="str"/>
      <x:c r="J62" s="30" t="str"/>
    </x:row>
    <x:row r="63">
      <x:c r="A63" t="str">
        <x:v>EVD-059</x:v>
      </x:c>
      <x:c r="B63" t="str"/>
      <x:c r="C63" t="str"/>
      <x:c r="D63" t="str"/>
      <x:c r="E63" s="28" t="str"/>
      <x:c r="F63" s="28" t="str"/>
      <x:c r="G63" s="28" t="str"/>
      <x:c r="H63" t="str">
        <x:v>Not Reviewed</x:v>
      </x:c>
      <x:c r="I63" t="str"/>
      <x:c r="J63" s="30" t="str"/>
    </x:row>
    <x:row r="64">
      <x:c r="A64" t="str">
        <x:v>EVD-060</x:v>
      </x:c>
      <x:c r="B64" t="str"/>
      <x:c r="C64" t="str"/>
      <x:c r="D64" t="str"/>
      <x:c r="E64" s="28" t="str"/>
      <x:c r="F64" s="28" t="str"/>
      <x:c r="G64" s="28" t="str"/>
      <x:c r="H64" t="str">
        <x:v>Not Reviewed</x:v>
      </x:c>
      <x:c r="I64" t="str"/>
      <x:c r="J64" s="30" t="str"/>
    </x:row>
  </x:sheetData>
  <x:mergeCells>
    <x:mergeCell ref="A1:J2"/>
  </x:mergeCells>
  <x:conditionalFormatting sqref="H5:H64">
    <x:cfRule type="expression" dxfId="5" priority="1">
      <x:formula>H5="Valid"</x:formula>
    </x:cfRule>
    <x:cfRule type="expression" dxfId="6" priority="2">
      <x:formula>OR(H5="Invalid",H5="Requires Rework")</x:formula>
    </x:cfRule>
  </x:conditionalFormatting>
  <x:dataValidations count="2">
    <x:dataValidation type="list" sqref="D5:D64">
      <x:formula1>"Excel Formula,Pivot Table,SQL Query,DAX Measure,Power BI Visual,AI Output,Written Finding,Other"</x:formula1>
    </x:dataValidation>
    <x:dataValidation type="list" sqref="H5:H64">
      <x:formula1>"Not Reviewed,Valid,Partially Valid,Invalid,Requires Rework"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19d783fa443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8" hidden="0" customWidth="1"/>
    <x:col min="5" max="5" width="12" hidden="0" customWidth="1"/>
  </x:cols>
  <x:sheetData>
    <x:row r="1" ht="30" customHeight="1">
      <x:c r="A1" s="5" t="str">
        <x:v>ABC Retail Ltd Casebook Dashboard</x:v>
      </x:c>
    </x:row>
    <x:row r="4">
      <x:c r="A4" s="14" t="str">
        <x:v>Casebook KPI</x:v>
      </x:c>
      <x:c r="B4" s="14" t="str">
        <x:v>Value</x:v>
      </x:c>
      <x:c r="D4" s="14" t="str">
        <x:v>Department</x:v>
      </x:c>
      <x:c r="E4" s="14" t="str">
        <x:v>Cases</x:v>
      </x:c>
    </x:row>
    <x:row r="5">
      <x:c r="A5" s="32" t="str">
        <x:v>Total Business Cases</x:v>
      </x:c>
      <x:c r="B5" s="35" t="n">
        <x:f>COUNTA('Business Cases'!A5:A26)</x:f>
        <x:v>22</x:v>
      </x:c>
      <x:c r="D5" t="str">
        <x:v>Business Intelligence</x:v>
      </x:c>
      <x:c r="E5" t="n">
        <x:f>COUNTIF('Business Cases'!B5:B26,D5)</x:f>
        <x:v>1</x:v>
      </x:c>
    </x:row>
    <x:row r="6">
      <x:c r="A6" s="32" t="str">
        <x:v>Total Analytical Questions</x:v>
      </x:c>
      <x:c r="B6" s="35" t="n">
        <x:f>COUNTA('Analytical Questions'!A5:A70)</x:f>
        <x:v>66</x:v>
      </x:c>
      <x:c r="D6" t="str">
        <x:v>Customer Service</x:v>
      </x:c>
      <x:c r="E6" t="n">
        <x:f>COUNTIF('Business Cases'!B5:B26,D6)</x:f>
        <x:v>2</x:v>
      </x:c>
    </x:row>
    <x:row r="7">
      <x:c r="A7" s="32" t="str">
        <x:v>Active KPIs</x:v>
      </x:c>
      <x:c r="B7" s="35" t="n">
        <x:f>COUNTIF('KPI Catalog'!L5:L26,"Active")</x:f>
        <x:v>22</x:v>
      </x:c>
      <x:c r="D7" t="str">
        <x:v>Executive Management</x:v>
      </x:c>
      <x:c r="E7" t="n">
        <x:f>COUNTIF('Business Cases'!B5:B26,D7)</x:f>
        <x:v>2</x:v>
      </x:c>
    </x:row>
    <x:row r="8">
      <x:c r="A8" s="32" t="str">
        <x:v>Assignments Created</x:v>
      </x:c>
      <x:c r="B8" s="35" t="n">
        <x:f>COUNTIF('Assignment Tracker'!B5:B44,"&lt;&gt;")</x:f>
        <x:v>40</x:v>
      </x:c>
      <x:c r="D8" t="str">
        <x:v>Finance</x:v>
      </x:c>
      <x:c r="E8" t="n">
        <x:f>COUNTIF('Business Cases'!B5:B26,D8)</x:f>
        <x:v>2</x:v>
      </x:c>
    </x:row>
    <x:row r="9">
      <x:c r="A9" s="32" t="str">
        <x:v>Completed Assignments</x:v>
      </x:c>
      <x:c r="B9" s="35" t="n">
        <x:f>COUNTIF('Assignment Tracker'!H5:H44,"Completed")</x:f>
        <x:v>0</x:v>
      </x:c>
      <x:c r="D9" t="str">
        <x:v>Human Resources</x:v>
      </x:c>
      <x:c r="E9" t="n">
        <x:f>COUNTIF('Business Cases'!B5:B26,D9)</x:f>
        <x:v>2</x:v>
      </x:c>
    </x:row>
    <x:row r="10">
      <x:c r="A10" s="32" t="str">
        <x:v>Validated Evidence</x:v>
      </x:c>
      <x:c r="B10" s="35" t="n">
        <x:f>COUNTIF('Evidence Log'!H5:H64,"Valid")</x:f>
        <x:v>0</x:v>
      </x:c>
      <x:c r="D10" t="str">
        <x:v>Information Security</x:v>
      </x:c>
      <x:c r="E10" t="n">
        <x:f>COUNTIF('Business Cases'!B5:B26,D10)</x:f>
        <x:v>1</x:v>
      </x:c>
    </x:row>
    <x:row r="11">
      <x:c r="A11" s="32" t="str">
        <x:v>Average Assignment Score</x:v>
      </x:c>
      <x:c r="B11" s="35" t="n">
        <x:f>IFERROR(AVERAGE('Assignment Tracker'!I5:I44),0)</x:f>
        <x:v>0</x:v>
      </x:c>
      <x:c r="D11" t="str">
        <x:v>Information Technology</x:v>
      </x:c>
      <x:c r="E11" t="n">
        <x:f>COUNTIF('Business Cases'!B5:B26,D11)</x:f>
        <x:v>1</x:v>
      </x:c>
    </x:row>
    <x:row r="12">
      <x:c r="D12" t="str">
        <x:v>Inventory</x:v>
      </x:c>
      <x:c r="E12" t="n">
        <x:f>COUNTIF('Business Cases'!B5:B26,D12)</x:f>
        <x:v>2</x:v>
      </x:c>
    </x:row>
    <x:row r="13">
      <x:c r="D13" t="str">
        <x:v>Logistics</x:v>
      </x:c>
      <x:c r="E13" t="n">
        <x:f>COUNTIF('Business Cases'!B5:B26,D13)</x:f>
        <x:v>2</x:v>
      </x:c>
    </x:row>
    <x:row r="14">
      <x:c r="D14" t="str">
        <x:v>Marketing</x:v>
      </x:c>
      <x:c r="E14" t="n">
        <x:f>COUNTIF('Business Cases'!B5:B26,D14)</x:f>
        <x:v>2</x:v>
      </x:c>
    </x:row>
    <x:row r="15">
      <x:c r="D15" t="str">
        <x:v>Procurement</x:v>
      </x:c>
      <x:c r="E15" t="n">
        <x:f>COUNTIF('Business Cases'!B5:B26,D15)</x:f>
        <x:v>2</x:v>
      </x:c>
    </x:row>
    <x:row r="16">
      <x:c r="D16" t="str">
        <x:v>Risk and Audit</x:v>
      </x:c>
      <x:c r="E16" t="n">
        <x:f>COUNTIF('Business Cases'!B5:B26,D16)</x:f>
        <x:v>1</x:v>
      </x:c>
    </x:row>
    <x:row r="17">
      <x:c r="D17" t="str">
        <x:v>Sales</x:v>
      </x:c>
      <x:c r="E17" t="n">
        <x:f>COUNTIF('Business Cases'!B5:B26,D17)</x:f>
        <x:v>2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e1b4b86062824265"/>
</x:worksheet>
</file>