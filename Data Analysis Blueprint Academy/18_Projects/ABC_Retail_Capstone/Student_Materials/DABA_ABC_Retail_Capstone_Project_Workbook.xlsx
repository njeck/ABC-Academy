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e80786f9f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e018efc39be4e2c"/>
    <x:sheet xmlns:r="http://schemas.openxmlformats.org/officeDocument/2006/relationships" name="Project Plan" sheetId="2" r:id="R74a0c0f2a5c146bd"/>
    <x:sheet xmlns:r="http://schemas.openxmlformats.org/officeDocument/2006/relationships" name="Business Questions" sheetId="3" r:id="R35ce100a6f6d4a20"/>
    <x:sheet xmlns:r="http://schemas.openxmlformats.org/officeDocument/2006/relationships" name="Data Quality Register" sheetId="4" r:id="R202c4271b02b41a9"/>
    <x:sheet xmlns:r="http://schemas.openxmlformats.org/officeDocument/2006/relationships" name="SQL Analysis Log" sheetId="5" r:id="R097359cc85424d87"/>
    <x:sheet xmlns:r="http://schemas.openxmlformats.org/officeDocument/2006/relationships" name="Power BI Checklist" sheetId="6" r:id="Rc7241844c6274500"/>
    <x:sheet xmlns:r="http://schemas.openxmlformats.org/officeDocument/2006/relationships" name="AI Evidence" sheetId="7" r:id="R9e263b41bdc54a6e"/>
    <x:sheet xmlns:r="http://schemas.openxmlformats.org/officeDocument/2006/relationships" name="Findings" sheetId="8" r:id="Rec7ea4b907d34046"/>
    <x:sheet xmlns:r="http://schemas.openxmlformats.org/officeDocument/2006/relationships" name="Assessment Scorecard" sheetId="9" r:id="R3a3f65a71abc4066"/>
    <x:sheet xmlns:r="http://schemas.openxmlformats.org/officeDocument/2006/relationships" name="Project Dashboard" sheetId="10" r:id="R8bcae58ef615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A300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4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  <x:dxfs count="15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ont>
        <x:color rgb="FFFFFFFF"/>
      </x:font>
      <x:fill>
        <x:patternFill patternType="solid">
          <x:bgColor rgb="FFC00000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6c1676d70448a" /><Relationship Type="http://schemas.openxmlformats.org/officeDocument/2006/relationships/theme" Target="/xl/theme/theme1.xml" Id="Rab2a9e5ba74241dd" /><Relationship Type="http://schemas.openxmlformats.org/officeDocument/2006/relationships/sharedStrings" Target="/xl/sharedStrings.xml" Id="R4118f97e6c2f4ff1" /><Relationship Type="http://schemas.openxmlformats.org/officeDocument/2006/relationships/worksheet" Target="/xl/worksheets/sheet1.xml" Id="Rbe018efc39be4e2c" /><Relationship Type="http://schemas.openxmlformats.org/officeDocument/2006/relationships/worksheet" Target="/xl/worksheets/sheet2.xml" Id="R74a0c0f2a5c146bd" /><Relationship Type="http://schemas.openxmlformats.org/officeDocument/2006/relationships/worksheet" Target="/xl/worksheets/sheet3.xml" Id="R35ce100a6f6d4a20" /><Relationship Type="http://schemas.openxmlformats.org/officeDocument/2006/relationships/worksheet" Target="/xl/worksheets/sheet4.xml" Id="R202c4271b02b41a9" /><Relationship Type="http://schemas.openxmlformats.org/officeDocument/2006/relationships/worksheet" Target="/xl/worksheets/sheet5.xml" Id="R097359cc85424d87" /><Relationship Type="http://schemas.openxmlformats.org/officeDocument/2006/relationships/worksheet" Target="/xl/worksheets/sheet6.xml" Id="Rc7241844c6274500" /><Relationship Type="http://schemas.openxmlformats.org/officeDocument/2006/relationships/worksheet" Target="/xl/worksheets/sheet7.xml" Id="R9e263b41bdc54a6e" /><Relationship Type="http://schemas.openxmlformats.org/officeDocument/2006/relationships/worksheet" Target="/xl/worksheets/sheet8.xml" Id="Rec7ea4b907d34046" /><Relationship Type="http://schemas.openxmlformats.org/officeDocument/2006/relationships/worksheet" Target="/xl/worksheets/sheet9.xml" Id="R3a3f65a71abc4066" /><Relationship Type="http://schemas.openxmlformats.org/officeDocument/2006/relationships/worksheet" Target="/xl/worksheets/sheet10.xml" Id="R8bcae58ef61545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800bf508d342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 Task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Task Count</c:v>
          </c:tx>
          <c:cat>
            <c:strRef>
              <c:f>'Project Dashboard'!$D$5:$D$9</c:f>
              <c:strCache>
                <c:ptCount val="0"/>
              </c:strCache>
            </c:strRef>
          </c:cat>
          <c:val>
            <c:numRef>
              <c:f>'Project Dashboard'!$E$5:$E$9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800bf508d342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pstonePlanTable" displayName="CapstonePlanTable" ref="A4:J16" headerRowCount="1">
  <x:tableColumns count="10">
    <x:tableColumn id="1" name="Task ID"/>
    <x:tableColumn id="2" name="Phase"/>
    <x:tableColumn id="3" name="Task"/>
    <x:tableColumn id="4" name="Deliverable"/>
    <x:tableColumn id="5" name="Owner"/>
    <x:tableColumn id="6" name="Start Date"/>
    <x:tableColumn id="7" name="Due Date"/>
    <x:tableColumn id="8" name="Status"/>
    <x:tableColumn id="9" name="Completion %"/>
    <x:tableColumn id="10" name="Evidence / File"/>
  </x:tableColumns>
  <x:tableStyleInfo name="TableStyleMedium2" showRowStripes="1"/>
</x:table>
</file>

<file path=xl/tables/table2.xml><?xml version="1.0" encoding="utf-8"?>
<x:table xmlns:x="http://schemas.openxmlformats.org/spreadsheetml/2006/main" id="2" name="BusinessQuestionsTable" displayName="BusinessQuestionsTable" ref="A4:H12" headerRowCount="1">
  <x:tableColumns count="8">
    <x:tableColumn id="1" name="Question ID"/>
    <x:tableColumn id="2" name="Business Question"/>
    <x:tableColumn id="3" name="Department"/>
    <x:tableColumn id="4" name="Required Data"/>
    <x:tableColumn id="5" name="Primary Tool"/>
    <x:tableColumn id="6" name="Expected Output"/>
    <x:tableColumn id="7" name="Priority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apstoneDQTable" displayName="CapstoneDQTable" ref="A4:K54" headerRowCount="1">
  <x:tableColumns count="11">
    <x:tableColumn id="1" name="Issue ID"/>
    <x:tableColumn id="2" name="Dataset"/>
    <x:tableColumn id="3" name="Record ID"/>
    <x:tableColumn id="4" name="Field"/>
    <x:tableColumn id="5" name="Issue Type"/>
    <x:tableColumn id="6" name="Issue Description"/>
    <x:tableColumn id="7" name="Severity"/>
    <x:tableColumn id="8" name="Correction"/>
    <x:tableColumn id="9" name="Validation Rule"/>
    <x:tableColumn id="10" name="Owner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SQLAnalysisTable" displayName="SQLAnalysisTable" ref="A4:I34" headerRowCount="1">
  <x:tableColumns count="9">
    <x:tableColumn id="1" name="Query ID"/>
    <x:tableColumn id="2" name="Business Question"/>
    <x:tableColumn id="3" name="SQL Objective"/>
    <x:tableColumn id="4" name="Tables Used"/>
    <x:tableColumn id="5" name="Expected Result"/>
    <x:tableColumn id="6" name="Validation Performed"/>
    <x:tableColumn id="7" name="Result Status"/>
    <x:tableColumn id="8" name="File / Query Reference"/>
    <x:tableColumn id="9" name="Reviewer Notes"/>
  </x:tableColumns>
  <x:tableStyleInfo name="TableStyleMedium2" showRowStripes="1"/>
</x:table>
</file>

<file path=xl/tables/table5.xml><?xml version="1.0" encoding="utf-8"?>
<x:table xmlns:x="http://schemas.openxmlformats.org/spreadsheetml/2006/main" id="5" name="PowerBIChecklistTable" displayName="PowerBIChecklistTable" ref="A4:H14" headerRowCount="1">
  <x:tableColumns count="8">
    <x:tableColumn id="1" name="Check ID"/>
    <x:tableColumn id="2" name="Area"/>
    <x:tableColumn id="3" name="Requirement"/>
    <x:tableColumn id="4" name="Evidence"/>
    <x:tableColumn id="5" name="Status"/>
    <x:tableColumn id="6" name="Reviewer"/>
    <x:tableColumn id="7" name="Score"/>
    <x:tableColumn id="8" name="Comments"/>
  </x:tableColumns>
  <x:tableStyleInfo name="TableStyleMedium2" showRowStripes="1"/>
</x:table>
</file>

<file path=xl/tables/table6.xml><?xml version="1.0" encoding="utf-8"?>
<x:table xmlns:x="http://schemas.openxmlformats.org/spreadsheetml/2006/main" id="6" name="AIEvidenceTable" displayName="AIEvidenceTable" ref="A4:K34" headerRowCount="1">
  <x:tableColumns count="11">
    <x:tableColumn id="1" name="Evidence ID"/>
    <x:tableColumn id="2" name="Business Question"/>
    <x:tableColumn id="3" name="Prompt Purpose"/>
    <x:tableColumn id="4" name="Prompt Reference"/>
    <x:tableColumn id="5" name="AI Output Summary"/>
    <x:tableColumn id="6" name="Source Used"/>
    <x:tableColumn id="7" name="Validation Method"/>
    <x:tableColumn id="8" name="Validation Result"/>
    <x:tableColumn id="9" name="Correction Made"/>
    <x:tableColumn id="10" name="Risk Level"/>
    <x:tableColumn id="11" name="Approved"/>
  </x:tableColumns>
  <x:tableStyleInfo name="TableStyleMedium2" showRowStripes="1"/>
</x:table>
</file>

<file path=xl/tables/table7.xml><?xml version="1.0" encoding="utf-8"?>
<x:table xmlns:x="http://schemas.openxmlformats.org/spreadsheetml/2006/main" id="7" name="FindingsTable" displayName="FindingsTable" ref="A4:J24" headerRowCount="1">
  <x:tableColumns count="10">
    <x:tableColumn id="1" name="Finding ID"/>
    <x:tableColumn id="2" name="Business Area"/>
    <x:tableColumn id="3" name="Finding"/>
    <x:tableColumn id="4" name="Supporting KPI / Query"/>
    <x:tableColumn id="5" name="Evidence Reference"/>
    <x:tableColumn id="6" name="Business Impact"/>
    <x:tableColumn id="7" name="Confidence"/>
    <x:tableColumn id="8" name="Recommendation"/>
    <x:tableColumn id="9" name="Priority"/>
    <x:tableColumn id="10" name="Approval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5387ff23e34a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afeca55a2044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666907e6e49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23f09669e342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ed195290d246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49d8ee1db34c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3725f9e4de4ad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5a46aeae29c64e2e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 ht="30" customHeight="1">
      <x:c r="A1" s="5" t="str">
        <x:v>DABA Integrated Capstone Project Workbook</x:v>
      </x:c>
    </x:row>
    <x:row r="4">
      <x:c r="A4" s="21" t="str">
        <x:v>Document Code</x:v>
      </x:c>
      <x:c r="B4" s="39" t="str">
        <x:v>DABA-CAP-001</x:v>
      </x:c>
    </x:row>
    <x:row r="5">
      <x:c r="A5" s="22" t="str">
        <x:v>Version</x:v>
      </x:c>
      <x:c r="B5" s="39" t="str">
        <x:v>1.0</x:v>
      </x:c>
    </x:row>
    <x:row r="6">
      <x:c r="A6" s="22" t="str">
        <x:v>Capstone</x:v>
      </x:c>
      <x:c r="B6" s="39" t="str">
        <x:v>ABC Retail Ltd Integrated Analytics Project</x:v>
      </x:c>
    </x:row>
    <x:row r="7">
      <x:c r="A7" s="22" t="str">
        <x:v>Founder</x:v>
      </x:c>
      <x:c r="B7" s="39" t="str">
        <x:v>Mbah Dousbel Angum</x:v>
      </x:c>
    </x:row>
    <x:row r="8">
      <x:c r="A8" s="22" t="str">
        <x:v>Student Role</x:v>
      </x:c>
      <x:c r="B8" s="39" t="str">
        <x:v>Junior Data Analyst</x:v>
      </x:c>
    </x:row>
    <x:row r="9">
      <x:c r="A9" s="22" t="str">
        <x:v>Project Duration</x:v>
      </x:c>
      <x:c r="B9" s="39" t="str">
        <x:v>3–4 weeks</x:v>
      </x:c>
    </x:row>
    <x:row r="10">
      <x:c r="A10" s="22" t="str">
        <x:v>Technical Tools</x:v>
      </x:c>
      <x:c r="B10" s="39" t="str">
        <x:v>Excel, SQL Server, Power BI, approved AI assistant</x:v>
      </x:c>
    </x:row>
    <x:row r="11">
      <x:c r="A11" s="22" t="str">
        <x:v>Primary Deliverables</x:v>
      </x:c>
      <x:c r="B11" s="39" t="str">
        <x:v>Clean data, SQL analysis, Power BI dashboard, AI validation pack, management report, presentation</x:v>
      </x:c>
    </x:row>
    <x:row r="12">
      <x:c r="A12" s="22" t="str">
        <x:v>Assessment Weight</x:v>
      </x:c>
      <x:c r="B12" s="39" t="str">
        <x:v>100 marks</x:v>
      </x:c>
    </x:row>
    <x:row r="13">
      <x:c r="A13" s="22" t="str">
        <x:v>Data Classification</x:v>
      </x:c>
      <x:c r="B13" s="39" t="str">
        <x:v>Synthetic educational data</x:v>
      </x:c>
    </x:row>
    <x:row r="14">
      <x:c r="A14" s="22" t="str">
        <x:v>Core Principle</x:v>
      </x:c>
      <x:c r="B14" s="39" t="str">
        <x:v>Every conclusion must be supported by evidence</x:v>
      </x:c>
    </x:row>
    <x:row r="15">
      <x:c r="A15" s="23" t="str">
        <x:v>Submission Format</x:v>
      </x:c>
      <x:c r="B15" s="39" t="str">
        <x:v>Structured project folder using DABA naming standards</x:v>
      </x:c>
    </x:row>
    <x:row r="17">
      <x:c r="A17" s="51" t="str">
        <x:v>Capstone Workflow</x:v>
      </x:c>
      <x:c r="B17" s="52" t="str"/>
      <x:c r="C17" s="52" t="str"/>
      <x:c r="D17" s="52" t="str"/>
      <x:c r="E17" s="52" t="str"/>
      <x:c r="F17" s="52" t="str"/>
      <x:c r="G17" s="52" t="str"/>
      <x:c r="H17" s="53" t="str"/>
    </x:row>
    <x:row r="19">
      <x:c r="A19" s="21" t="str">
        <x:v>1</x:v>
      </x:c>
      <x:c r="B19" s="67" t="str">
        <x:v>Understand the business problem and management questions.</x:v>
      </x:c>
    </x:row>
    <x:row r="20">
      <x:c r="A20" s="22" t="str">
        <x:v>2</x:v>
      </x:c>
      <x:c r="B20" s="67" t="str">
        <x:v>Inspect and clean the supplied datasets.</x:v>
      </x:c>
    </x:row>
    <x:row r="21">
      <x:c r="A21" s="22" t="str">
        <x:v>3</x:v>
      </x:c>
      <x:c r="B21" s="67" t="str">
        <x:v>Document data-quality issues and corrections.</x:v>
      </x:c>
    </x:row>
    <x:row r="22">
      <x:c r="A22" s="22" t="str">
        <x:v>4</x:v>
      </x:c>
      <x:c r="B22" s="67" t="str">
        <x:v>Load or query the relational database.</x:v>
      </x:c>
    </x:row>
    <x:row r="23">
      <x:c r="A23" s="22" t="str">
        <x:v>5</x:v>
      </x:c>
      <x:c r="B23" s="67" t="str">
        <x:v>Perform SQL and Excel analysis.</x:v>
      </x:c>
    </x:row>
    <x:row r="24">
      <x:c r="A24" s="22" t="str">
        <x:v>6</x:v>
      </x:c>
      <x:c r="B24" s="67" t="str">
        <x:v>Build the Power BI data model and dashboard.</x:v>
      </x:c>
    </x:row>
    <x:row r="25">
      <x:c r="A25" s="22" t="str">
        <x:v>7</x:v>
      </x:c>
      <x:c r="B25" s="67" t="str">
        <x:v>Use AI only as an analytical assistant and validate its outputs.</x:v>
      </x:c>
    </x:row>
    <x:row r="26">
      <x:c r="A26" s="22" t="str">
        <x:v>8</x:v>
      </x:c>
      <x:c r="B26" s="67" t="str">
        <x:v>Prepare findings, recommendations, report, and presentation.</x:v>
      </x:c>
    </x:row>
    <x:row r="27">
      <x:c r="A27" s="23" t="str">
        <x:v>9</x:v>
      </x:c>
      <x:c r="B27" s="67" t="str">
        <x:v>Defend the project before an assessment panel.</x:v>
      </x:c>
    </x:row>
  </x:sheetData>
  <x:mergeCells>
    <x:mergeCell ref="A1:H2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0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34" hidden="0" customWidth="1"/>
  </x:cols>
  <x:sheetData>
    <x:row r="1" ht="30" customHeight="1">
      <x:c r="A1" s="5" t="str">
        <x:v>Capstone Project Plan and Milestones</x:v>
      </x:c>
    </x:row>
    <x:row r="4">
      <x:c r="A4" s="51" t="str">
        <x:v>Task ID</x:v>
      </x:c>
      <x:c r="B4" s="52" t="str">
        <x:v>Phase</x:v>
      </x:c>
      <x:c r="C4" s="52" t="str">
        <x:v>Task</x:v>
      </x:c>
      <x:c r="D4" s="52" t="str">
        <x:v>Deliverable</x:v>
      </x:c>
      <x:c r="E4" s="52" t="str">
        <x:v>Owner</x:v>
      </x:c>
      <x:c r="F4" s="52" t="str">
        <x:v>Start Date</x:v>
      </x:c>
      <x:c r="G4" s="52" t="str">
        <x:v>Due Date</x:v>
      </x:c>
      <x:c r="H4" s="52" t="str">
        <x:v>Status</x:v>
      </x:c>
      <x:c r="I4" s="52" t="str">
        <x:v>Completion %</x:v>
      </x:c>
      <x:c r="J4" s="53" t="str">
        <x:v>Evidence / File</x:v>
      </x:c>
    </x:row>
    <x:row r="5">
      <x:c r="A5" t="str">
        <x:v>CAP-001</x:v>
      </x:c>
      <x:c r="B5" t="str">
        <x:v>Initiation</x:v>
      </x:c>
      <x:c r="C5" s="72" t="str">
        <x:v>Review business case and questions</x:v>
      </x:c>
      <x:c r="D5" s="72" t="str">
        <x:v>Approved analysis plan</x:v>
      </x:c>
      <x:c r="E5" t="str">
        <x:v>Student</x:v>
      </x:c>
      <x:c r="F5" s="70" t="str"/>
      <x:c r="G5" s="70" t="str"/>
      <x:c r="H5" t="str">
        <x:v>Not Started</x:v>
      </x:c>
      <x:c r="I5" t="n">
        <x:v>0</x:v>
      </x:c>
      <x:c r="J5" s="72" t="str"/>
    </x:row>
    <x:row r="6">
      <x:c r="A6" t="str">
        <x:v>CAP-002</x:v>
      </x:c>
      <x:c r="B6" t="str">
        <x:v>Data Preparation</x:v>
      </x:c>
      <x:c r="C6" s="72" t="str">
        <x:v>Profile all supplied datasets</x:v>
      </x:c>
      <x:c r="D6" s="72" t="str">
        <x:v>Data profile summary</x:v>
      </x:c>
      <x:c r="E6" t="str">
        <x:v>Student</x:v>
      </x:c>
      <x:c r="F6" s="70" t="str"/>
      <x:c r="G6" s="70" t="str"/>
      <x:c r="H6" t="str">
        <x:v>Not Started</x:v>
      </x:c>
      <x:c r="I6" t="n">
        <x:v>0</x:v>
      </x:c>
      <x:c r="J6" s="72" t="str"/>
    </x:row>
    <x:row r="7">
      <x:c r="A7" t="str">
        <x:v>CAP-003</x:v>
      </x:c>
      <x:c r="B7" t="str">
        <x:v>Data Preparation</x:v>
      </x:c>
      <x:c r="C7" s="72" t="str">
        <x:v>Clean and standardize data</x:v>
      </x:c>
      <x:c r="D7" s="72" t="str">
        <x:v>Clean Excel datasets</x:v>
      </x:c>
      <x:c r="E7" t="str">
        <x:v>Student</x:v>
      </x:c>
      <x:c r="F7" s="70" t="str"/>
      <x:c r="G7" s="70" t="str"/>
      <x:c r="H7" t="str">
        <x:v>Not Started</x:v>
      </x:c>
      <x:c r="I7" t="n">
        <x:v>0</x:v>
      </x:c>
      <x:c r="J7" s="72" t="str"/>
    </x:row>
    <x:row r="8">
      <x:c r="A8" t="str">
        <x:v>CAP-004</x:v>
      </x:c>
      <x:c r="B8" t="str">
        <x:v>Data Preparation</x:v>
      </x:c>
      <x:c r="C8" s="72" t="str">
        <x:v>Document data-quality issues</x:v>
      </x:c>
      <x:c r="D8" s="72" t="str">
        <x:v>Completed issue register</x:v>
      </x:c>
      <x:c r="E8" t="str">
        <x:v>Student</x:v>
      </x:c>
      <x:c r="F8" s="70" t="str"/>
      <x:c r="G8" s="70" t="str"/>
      <x:c r="H8" t="str">
        <x:v>Not Started</x:v>
      </x:c>
      <x:c r="I8" t="n">
        <x:v>0</x:v>
      </x:c>
      <x:c r="J8" s="72" t="str"/>
    </x:row>
    <x:row r="9">
      <x:c r="A9" t="str">
        <x:v>CAP-005</x:v>
      </x:c>
      <x:c r="B9" t="str">
        <x:v>SQL Analysis</x:v>
      </x:c>
      <x:c r="C9" s="72" t="str">
        <x:v>Load and validate relational data</x:v>
      </x:c>
      <x:c r="D9" s="72" t="str">
        <x:v>Working SQL database</x:v>
      </x:c>
      <x:c r="E9" t="str">
        <x:v>Student</x:v>
      </x:c>
      <x:c r="F9" s="70" t="str"/>
      <x:c r="G9" s="70" t="str"/>
      <x:c r="H9" t="str">
        <x:v>Not Started</x:v>
      </x:c>
      <x:c r="I9" t="n">
        <x:v>0</x:v>
      </x:c>
      <x:c r="J9" s="72" t="str"/>
    </x:row>
    <x:row r="10">
      <x:c r="A10" t="str">
        <x:v>CAP-006</x:v>
      </x:c>
      <x:c r="B10" t="str">
        <x:v>SQL Analysis</x:v>
      </x:c>
      <x:c r="C10" s="72" t="str">
        <x:v>Answer management questions using SQL</x:v>
      </x:c>
      <x:c r="D10" s="72" t="str">
        <x:v>SQL query file and results</x:v>
      </x:c>
      <x:c r="E10" t="str">
        <x:v>Student</x:v>
      </x:c>
      <x:c r="F10" s="70" t="str"/>
      <x:c r="G10" s="70" t="str"/>
      <x:c r="H10" t="str">
        <x:v>Not Started</x:v>
      </x:c>
      <x:c r="I10" t="n">
        <x:v>0</x:v>
      </x:c>
      <x:c r="J10" s="72" t="str"/>
    </x:row>
    <x:row r="11">
      <x:c r="A11" t="str">
        <x:v>CAP-007</x:v>
      </x:c>
      <x:c r="B11" t="str">
        <x:v>Power BI</x:v>
      </x:c>
      <x:c r="C11" s="72" t="str">
        <x:v>Build data model and relationships</x:v>
      </x:c>
      <x:c r="D11" s="72" t="str">
        <x:v>Validated star schema</x:v>
      </x:c>
      <x:c r="E11" t="str">
        <x:v>Student</x:v>
      </x:c>
      <x:c r="F11" s="70" t="str"/>
      <x:c r="G11" s="70" t="str"/>
      <x:c r="H11" t="str">
        <x:v>Not Started</x:v>
      </x:c>
      <x:c r="I11" t="n">
        <x:v>0</x:v>
      </x:c>
      <x:c r="J11" s="72" t="str"/>
    </x:row>
    <x:row r="12">
      <x:c r="A12" t="str">
        <x:v>CAP-008</x:v>
      </x:c>
      <x:c r="B12" t="str">
        <x:v>Power BI</x:v>
      </x:c>
      <x:c r="C12" s="72" t="str">
        <x:v>Create DAX measures</x:v>
      </x:c>
      <x:c r="D12" s="72" t="str">
        <x:v>Measure library</x:v>
      </x:c>
      <x:c r="E12" t="str">
        <x:v>Student</x:v>
      </x:c>
      <x:c r="F12" s="70" t="str"/>
      <x:c r="G12" s="70" t="str"/>
      <x:c r="H12" t="str">
        <x:v>Not Started</x:v>
      </x:c>
      <x:c r="I12" t="n">
        <x:v>0</x:v>
      </x:c>
      <x:c r="J12" s="72" t="str"/>
    </x:row>
    <x:row r="13">
      <x:c r="A13" t="str">
        <x:v>CAP-009</x:v>
      </x:c>
      <x:c r="B13" t="str">
        <x:v>Power BI</x:v>
      </x:c>
      <x:c r="C13" s="72" t="str">
        <x:v>Design three-page dashboard</x:v>
      </x:c>
      <x:c r="D13" s="72" t="str">
        <x:v>Power BI report</x:v>
      </x:c>
      <x:c r="E13" t="str">
        <x:v>Student</x:v>
      </x:c>
      <x:c r="F13" s="70" t="str"/>
      <x:c r="G13" s="70" t="str"/>
      <x:c r="H13" t="str">
        <x:v>Not Started</x:v>
      </x:c>
      <x:c r="I13" t="n">
        <x:v>0</x:v>
      </x:c>
      <x:c r="J13" s="72" t="str"/>
    </x:row>
    <x:row r="14">
      <x:c r="A14" t="str">
        <x:v>CAP-010</x:v>
      </x:c>
      <x:c r="B14" t="str">
        <x:v>AI Governance</x:v>
      </x:c>
      <x:c r="C14" s="72" t="str">
        <x:v>Create prompts and validate outputs</x:v>
      </x:c>
      <x:c r="D14" s="72" t="str">
        <x:v>AI evidence pack</x:v>
      </x:c>
      <x:c r="E14" t="str">
        <x:v>Student</x:v>
      </x:c>
      <x:c r="F14" s="70" t="str"/>
      <x:c r="G14" s="70" t="str"/>
      <x:c r="H14" t="str">
        <x:v>Not Started</x:v>
      </x:c>
      <x:c r="I14" t="n">
        <x:v>0</x:v>
      </x:c>
      <x:c r="J14" s="72" t="str"/>
    </x:row>
    <x:row r="15">
      <x:c r="A15" t="str">
        <x:v>CAP-011</x:v>
      </x:c>
      <x:c r="B15" t="str">
        <x:v>Reporting</x:v>
      </x:c>
      <x:c r="C15" s="72" t="str">
        <x:v>Prepare management report</x:v>
      </x:c>
      <x:c r="D15" s="72" t="str">
        <x:v>Final written report</x:v>
      </x:c>
      <x:c r="E15" t="str">
        <x:v>Student</x:v>
      </x:c>
      <x:c r="F15" s="70" t="str"/>
      <x:c r="G15" s="70" t="str"/>
      <x:c r="H15" t="str">
        <x:v>Not Started</x:v>
      </x:c>
      <x:c r="I15" t="n">
        <x:v>0</x:v>
      </x:c>
      <x:c r="J15" s="72" t="str"/>
    </x:row>
    <x:row r="16">
      <x:c r="A16" t="str">
        <x:v>CAP-012</x:v>
      </x:c>
      <x:c r="B16" t="str">
        <x:v>Presentation</x:v>
      </x:c>
      <x:c r="C16" s="72" t="str">
        <x:v>Prepare and deliver project defense</x:v>
      </x:c>
      <x:c r="D16" s="72" t="str">
        <x:v>Presentation and oral defense</x:v>
      </x:c>
      <x:c r="E16" t="str">
        <x:v>Student</x:v>
      </x:c>
      <x:c r="F16" s="70" t="str"/>
      <x:c r="G16" s="70" t="str"/>
      <x:c r="H16" t="str">
        <x:v>Not Started</x:v>
      </x:c>
      <x:c r="I16" t="n">
        <x:v>0</x:v>
      </x:c>
      <x:c r="J16" s="72" t="str"/>
    </x:row>
    <x:row r="17">
      <x:c r="C17" s="72"/>
      <x:c r="D17" s="72"/>
      <x:c r="F17" s="70"/>
      <x:c r="G17" s="70"/>
      <x:c r="J17" s="72"/>
    </x:row>
    <x:row r="18">
      <x:c r="C18" s="72"/>
      <x:c r="D18" s="72"/>
      <x:c r="F18" s="70"/>
      <x:c r="G18" s="70"/>
      <x:c r="J18" s="72"/>
    </x:row>
    <x:row r="19">
      <x:c r="C19" s="72"/>
      <x:c r="D19" s="72"/>
      <x:c r="F19" s="70"/>
      <x:c r="G19" s="70"/>
      <x:c r="J19" s="72"/>
    </x:row>
    <x:row r="20">
      <x:c r="C20" s="72"/>
      <x:c r="D20" s="72"/>
      <x:c r="F20" s="70"/>
      <x:c r="G20" s="70"/>
      <x:c r="J20" s="72"/>
    </x:row>
    <x:row r="21">
      <x:c r="C21" s="72"/>
      <x:c r="D21" s="72"/>
      <x:c r="F21" s="70"/>
      <x:c r="G21" s="70"/>
      <x:c r="J21" s="72"/>
    </x:row>
    <x:row r="22">
      <x:c r="C22" s="72"/>
      <x:c r="D22" s="72"/>
      <x:c r="F22" s="70"/>
      <x:c r="G22" s="70"/>
      <x:c r="J22" s="72"/>
    </x:row>
    <x:row r="23">
      <x:c r="C23" s="72"/>
      <x:c r="D23" s="72"/>
      <x:c r="F23" s="70"/>
      <x:c r="G23" s="70"/>
      <x:c r="J23" s="72"/>
    </x:row>
    <x:row r="24">
      <x:c r="C24" s="72"/>
      <x:c r="D24" s="72"/>
      <x:c r="F24" s="70"/>
      <x:c r="G24" s="70"/>
      <x:c r="J24" s="72"/>
    </x:row>
    <x:row r="25">
      <x:c r="C25" s="72"/>
      <x:c r="D25" s="72"/>
      <x:c r="F25" s="70"/>
      <x:c r="G25" s="70"/>
      <x:c r="J25" s="72"/>
    </x:row>
    <x:row r="26">
      <x:c r="C26" s="72"/>
      <x:c r="D26" s="72"/>
      <x:c r="F26" s="70"/>
      <x:c r="G26" s="70"/>
      <x:c r="J26" s="72"/>
    </x:row>
    <x:row r="27">
      <x:c r="C27" s="72"/>
      <x:c r="D27" s="72"/>
      <x:c r="F27" s="70"/>
      <x:c r="G27" s="70"/>
      <x:c r="J27" s="72"/>
    </x:row>
    <x:row r="28">
      <x:c r="C28" s="72"/>
      <x:c r="D28" s="72"/>
      <x:c r="F28" s="70"/>
      <x:c r="G28" s="70"/>
      <x:c r="J28" s="72"/>
    </x:row>
    <x:row r="29">
      <x:c r="C29" s="72"/>
      <x:c r="D29" s="72"/>
      <x:c r="F29" s="70"/>
      <x:c r="G29" s="70"/>
      <x:c r="J29" s="72"/>
    </x:row>
    <x:row r="30">
      <x:c r="C30" s="72"/>
      <x:c r="D30" s="72"/>
      <x:c r="F30" s="70"/>
      <x:c r="G30" s="70"/>
      <x:c r="J30" s="72"/>
    </x:row>
    <x:row r="31">
      <x:c r="C31" s="72"/>
      <x:c r="D31" s="72"/>
      <x:c r="F31" s="70"/>
      <x:c r="G31" s="70"/>
      <x:c r="J31" s="72"/>
    </x:row>
    <x:row r="32">
      <x:c r="C32" s="72"/>
      <x:c r="D32" s="72"/>
      <x:c r="F32" s="70"/>
      <x:c r="G32" s="70"/>
      <x:c r="J32" s="72"/>
    </x:row>
    <x:row r="33">
      <x:c r="C33" s="72"/>
      <x:c r="D33" s="72"/>
      <x:c r="F33" s="70"/>
      <x:c r="G33" s="70"/>
      <x:c r="J33" s="72"/>
    </x:row>
    <x:row r="34">
      <x:c r="C34" s="72"/>
      <x:c r="D34" s="72"/>
      <x:c r="F34" s="70"/>
      <x:c r="G34" s="70"/>
      <x:c r="J34" s="72"/>
    </x:row>
    <x:row r="35">
      <x:c r="C35" s="72"/>
      <x:c r="D35" s="72"/>
      <x:c r="F35" s="70"/>
      <x:c r="G35" s="70"/>
      <x:c r="J35" s="72"/>
    </x:row>
    <x:row r="36">
      <x:c r="C36" s="72"/>
      <x:c r="D36" s="72"/>
      <x:c r="F36" s="70"/>
      <x:c r="G36" s="70"/>
      <x:c r="J36" s="72"/>
    </x:row>
    <x:row r="37">
      <x:c r="C37" s="72"/>
      <x:c r="D37" s="72"/>
      <x:c r="F37" s="70"/>
      <x:c r="G37" s="70"/>
      <x:c r="J37" s="72"/>
    </x:row>
    <x:row r="38">
      <x:c r="C38" s="72"/>
      <x:c r="D38" s="72"/>
      <x:c r="F38" s="70"/>
      <x:c r="G38" s="70"/>
      <x:c r="J38" s="72"/>
    </x:row>
    <x:row r="39">
      <x:c r="C39" s="72"/>
      <x:c r="D39" s="72"/>
      <x:c r="F39" s="70"/>
      <x:c r="G39" s="70"/>
      <x:c r="J39" s="72"/>
    </x:row>
    <x:row r="40">
      <x:c r="C40" s="72"/>
      <x:c r="D40" s="72"/>
      <x:c r="F40" s="70"/>
      <x:c r="G40" s="70"/>
      <x:c r="J40" s="72"/>
    </x:row>
    <x:row r="41">
      <x:c r="C41" s="72"/>
      <x:c r="D41" s="72"/>
      <x:c r="F41" s="70"/>
      <x:c r="G41" s="70"/>
      <x:c r="J41" s="72"/>
    </x:row>
    <x:row r="42">
      <x:c r="C42" s="72"/>
      <x:c r="D42" s="72"/>
      <x:c r="F42" s="70"/>
      <x:c r="G42" s="70"/>
      <x:c r="J42" s="72"/>
    </x:row>
    <x:row r="43">
      <x:c r="C43" s="72"/>
      <x:c r="D43" s="72"/>
      <x:c r="F43" s="70"/>
      <x:c r="G43" s="70"/>
      <x:c r="J43" s="72"/>
    </x:row>
    <x:row r="44">
      <x:c r="C44" s="72"/>
      <x:c r="D44" s="72"/>
      <x:c r="F44" s="70"/>
      <x:c r="G44" s="70"/>
      <x:c r="J44" s="72"/>
    </x:row>
    <x:row r="45">
      <x:c r="C45" s="72"/>
      <x:c r="D45" s="72"/>
      <x:c r="F45" s="70"/>
      <x:c r="G45" s="70"/>
      <x:c r="J45" s="72"/>
    </x:row>
    <x:row r="46">
      <x:c r="C46" s="72"/>
      <x:c r="D46" s="72"/>
      <x:c r="F46" s="70"/>
      <x:c r="G46" s="70"/>
      <x:c r="J46" s="72"/>
    </x:row>
    <x:row r="47">
      <x:c r="C47" s="72"/>
      <x:c r="D47" s="72"/>
      <x:c r="F47" s="70"/>
      <x:c r="G47" s="70"/>
      <x:c r="J47" s="72"/>
    </x:row>
    <x:row r="48">
      <x:c r="C48" s="72"/>
      <x:c r="D48" s="72"/>
      <x:c r="F48" s="70"/>
      <x:c r="G48" s="70"/>
      <x:c r="J48" s="72"/>
    </x:row>
    <x:row r="49">
      <x:c r="C49" s="72"/>
      <x:c r="D49" s="72"/>
      <x:c r="F49" s="70"/>
      <x:c r="G49" s="70"/>
      <x:c r="J49" s="72"/>
    </x:row>
    <x:row r="50">
      <x:c r="C50" s="72"/>
      <x:c r="D50" s="72"/>
      <x:c r="F50" s="70"/>
      <x:c r="G50" s="70"/>
      <x:c r="J50" s="72"/>
    </x:row>
  </x:sheetData>
  <x:mergeCells>
    <x:mergeCell ref="A1:J2"/>
  </x:mergeCells>
  <x:conditionalFormatting sqref="H5:H50">
    <x:cfRule type="expression" dxfId="0" priority="1">
      <x:formula>H5="Completed"</x:formula>
    </x:cfRule>
    <x:cfRule type="expression" dxfId="1" priority="2">
      <x:formula>H5="Blocked"</x:formula>
    </x:cfRule>
  </x:conditionalFormatting>
  <x:conditionalFormatting sqref="I5:I50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{104E7576-8CE6-DA8D-1405-7000AF650E60}</x14:id>
        </x:ext>
      </x:extLst>
    </x:cfRule>
  </x:conditionalFormatting>
  <x:dataValidations count="2">
    <x:dataValidation type="list" sqref="H5:H50">
      <x:formula1>"Not Started,In Progress,Blocked,Submitted,Completed"</x:formula1>
    </x:dataValidation>
    <x:dataValidation operator="between" sqref="I5:I5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25387ff23e34a5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104E7576-8CE6-DA8D-1405-7000AF650E60}">
            <x14:dataBar gradient="1">
              <x14:cfvo type="min"/>
              <x14:cfvo type="max"/>
              <x14:fillColor rgb="FFA02B93"/>
            </x14:dataBar>
          </x14:cfRule>
          <xm:sqref>I5:I50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20" hidden="0" customWidth="1"/>
    <x:col min="4" max="4" width="32" hidden="0" customWidth="1"/>
    <x:col min="5" max="5" width="20" hidden="0" customWidth="1"/>
    <x:col min="6" max="6" width="30" hidden="0" customWidth="1"/>
    <x:col min="7" max="7" width="12" hidden="0" customWidth="1"/>
    <x:col min="8" max="8" width="16" hidden="0" customWidth="1"/>
  </x:cols>
  <x:sheetData>
    <x:row r="1" ht="30" customHeight="1">
      <x:c r="A1" s="5" t="str">
        <x:v>ABC Retail Ltd Management Questions</x:v>
      </x:c>
    </x:row>
    <x:row r="4">
      <x:c r="A4" s="51" t="str">
        <x:v>Question ID</x:v>
      </x:c>
      <x:c r="B4" s="52" t="str">
        <x:v>Business Question</x:v>
      </x:c>
      <x:c r="C4" s="52" t="str">
        <x:v>Department</x:v>
      </x:c>
      <x:c r="D4" s="52" t="str">
        <x:v>Required Data</x:v>
      </x:c>
      <x:c r="E4" s="52" t="str">
        <x:v>Primary Tool</x:v>
      </x:c>
      <x:c r="F4" s="52" t="str">
        <x:v>Expected Output</x:v>
      </x:c>
      <x:c r="G4" s="52" t="str">
        <x:v>Priority</x:v>
      </x:c>
      <x:c r="H4" s="53" t="str">
        <x:v>Status</x:v>
      </x:c>
    </x:row>
    <x:row r="5">
      <x:c r="A5" t="str">
        <x:v>BQ-001</x:v>
      </x:c>
      <x:c r="B5" s="72" t="str">
        <x:v>Which branches generate the highest and lowest completed sales revenue?</x:v>
      </x:c>
      <x:c r="C5" s="72" t="str">
        <x:v>Sales</x:v>
      </x:c>
      <x:c r="D5" s="72" t="str">
        <x:v>Sales orders, branches</x:v>
      </x:c>
      <x:c r="E5" s="72" t="str">
        <x:v>SQL / Power BI</x:v>
      </x:c>
      <x:c r="F5" s="72" t="str">
        <x:v>Ranked branch analysis</x:v>
      </x:c>
      <x:c r="G5" t="str">
        <x:v>High</x:v>
      </x:c>
      <x:c r="H5" t="str">
        <x:v>Not Started</x:v>
      </x:c>
    </x:row>
    <x:row r="6">
      <x:c r="A6" t="str">
        <x:v>BQ-002</x:v>
      </x:c>
      <x:c r="B6" s="72" t="str">
        <x:v>Which products produce the highest revenue and gross profit?</x:v>
      </x:c>
      <x:c r="C6" s="72" t="str">
        <x:v>Sales</x:v>
      </x:c>
      <x:c r="D6" s="72" t="str">
        <x:v>Sales items, products</x:v>
      </x:c>
      <x:c r="E6" s="72" t="str">
        <x:v>SQL / Power BI</x:v>
      </x:c>
      <x:c r="F6" s="72" t="str">
        <x:v>Top and bottom product analysis</x:v>
      </x:c>
      <x:c r="G6" t="str">
        <x:v>High</x:v>
      </x:c>
      <x:c r="H6" t="str">
        <x:v>Not Started</x:v>
      </x:c>
    </x:row>
    <x:row r="7">
      <x:c r="A7" t="str">
        <x:v>BQ-003</x:v>
      </x:c>
      <x:c r="B7" s="72" t="str">
        <x:v>Which customers contribute the most revenue?</x:v>
      </x:c>
      <x:c r="C7" s="72" t="str">
        <x:v>CRM</x:v>
      </x:c>
      <x:c r="D7" s="72" t="str">
        <x:v>Customers, sales orders</x:v>
      </x:c>
      <x:c r="E7" s="72" t="str">
        <x:v>SQL / Power BI</x:v>
      </x:c>
      <x:c r="F7" s="72" t="str">
        <x:v>Customer revenue ranking</x:v>
      </x:c>
      <x:c r="G7" t="str">
        <x:v>Medium</x:v>
      </x:c>
      <x:c r="H7" t="str">
        <x:v>Not Started</x:v>
      </x:c>
    </x:row>
    <x:row r="8">
      <x:c r="A8" t="str">
        <x:v>BQ-004</x:v>
      </x:c>
      <x:c r="B8" s="72" t="str">
        <x:v>Which branches or products face inventory shortages?</x:v>
      </x:c>
      <x:c r="C8" s="72" t="str">
        <x:v>Inventory</x:v>
      </x:c>
      <x:c r="D8" s="72" t="str">
        <x:v>Inventory balances, products, branches</x:v>
      </x:c>
      <x:c r="E8" s="72" t="str">
        <x:v>Excel / Power BI</x:v>
      </x:c>
      <x:c r="F8" s="72" t="str">
        <x:v>Reorder-risk analysis</x:v>
      </x:c>
      <x:c r="G8" t="str">
        <x:v>High</x:v>
      </x:c>
      <x:c r="H8" t="str">
        <x:v>Not Started</x:v>
      </x:c>
    </x:row>
    <x:row r="9">
      <x:c r="A9" t="str">
        <x:v>BQ-005</x:v>
      </x:c>
      <x:c r="B9" s="72" t="str">
        <x:v>Which departments are overspending against budget?</x:v>
      </x:c>
      <x:c r="C9" s="72" t="str">
        <x:v>Finance</x:v>
      </x:c>
      <x:c r="D9" s="72" t="str">
        <x:v>Budgets, expenses, departments</x:v>
      </x:c>
      <x:c r="E9" s="72" t="str">
        <x:v>SQL / Power BI</x:v>
      </x:c>
      <x:c r="F9" s="72" t="str">
        <x:v>Budget variance analysis</x:v>
      </x:c>
      <x:c r="G9" t="str">
        <x:v>High</x:v>
      </x:c>
      <x:c r="H9" t="str">
        <x:v>Not Started</x:v>
      </x:c>
    </x:row>
    <x:row r="10">
      <x:c r="A10" t="str">
        <x:v>BQ-006</x:v>
      </x:c>
      <x:c r="B10" s="72" t="str">
        <x:v>Which sales employees perform best against targets?</x:v>
      </x:c>
      <x:c r="C10" s="72" t="str">
        <x:v>Sales / HR</x:v>
      </x:c>
      <x:c r="D10" s="72" t="str">
        <x:v>Employees, sales orders, targets</x:v>
      </x:c>
      <x:c r="E10" s="72" t="str">
        <x:v>SQL / Power BI</x:v>
      </x:c>
      <x:c r="F10" s="72" t="str">
        <x:v>Employee performance analysis</x:v>
      </x:c>
      <x:c r="G10" t="str">
        <x:v>Medium</x:v>
      </x:c>
      <x:c r="H10" t="str">
        <x:v>Not Started</x:v>
      </x:c>
    </x:row>
    <x:row r="11">
      <x:c r="A11" t="str">
        <x:v>BQ-007</x:v>
      </x:c>
      <x:c r="B11" s="72" t="str">
        <x:v>What are the main causes and patterns of customer complaints?</x:v>
      </x:c>
      <x:c r="C11" s="72" t="str">
        <x:v>Customer Service</x:v>
      </x:c>
      <x:c r="D11" s="72" t="str">
        <x:v>Complaints, customers, sales orders</x:v>
      </x:c>
      <x:c r="E11" s="72" t="str">
        <x:v>Excel / SQL</x:v>
      </x:c>
      <x:c r="F11" s="72" t="str">
        <x:v>Complaint analysis</x:v>
      </x:c>
      <x:c r="G11" t="str">
        <x:v>Medium</x:v>
      </x:c>
      <x:c r="H11" t="str">
        <x:v>Not Started</x:v>
      </x:c>
    </x:row>
    <x:row r="12">
      <x:c r="A12" t="str">
        <x:v>BQ-008</x:v>
      </x:c>
      <x:c r="B12" s="72" t="str">
        <x:v>What management actions should be prioritized for the next quarter?</x:v>
      </x:c>
      <x:c r="C12" s="72" t="str">
        <x:v>Executive</x:v>
      </x:c>
      <x:c r="D12" s="72" t="str">
        <x:v>Validated project findings</x:v>
      </x:c>
      <x:c r="E12" s="72" t="str">
        <x:v>AI-assisted reporting</x:v>
      </x:c>
      <x:c r="F12" s="72" t="str">
        <x:v>Prioritized recommendations</x:v>
      </x:c>
      <x:c r="G12" t="str">
        <x:v>High</x:v>
      </x:c>
      <x:c r="H12" t="str">
        <x:v>Not Started</x:v>
      </x:c>
    </x:row>
    <x:row r="13">
      <x:c r="B13" s="72"/>
      <x:c r="C13" s="72"/>
      <x:c r="D13" s="72"/>
      <x:c r="E13" s="72"/>
      <x:c r="F13" s="72"/>
    </x:row>
    <x:row r="14">
      <x:c r="B14" s="72"/>
      <x:c r="C14" s="72"/>
      <x:c r="D14" s="72"/>
      <x:c r="E14" s="72"/>
      <x:c r="F14" s="72"/>
    </x:row>
    <x:row r="15">
      <x:c r="B15" s="72"/>
      <x:c r="C15" s="72"/>
      <x:c r="D15" s="72"/>
      <x:c r="E15" s="72"/>
      <x:c r="F15" s="72"/>
    </x:row>
    <x:row r="16">
      <x:c r="B16" s="72"/>
      <x:c r="C16" s="72"/>
      <x:c r="D16" s="72"/>
      <x:c r="E16" s="72"/>
      <x:c r="F16" s="72"/>
    </x:row>
    <x:row r="17">
      <x:c r="B17" s="72"/>
      <x:c r="C17" s="72"/>
      <x:c r="D17" s="72"/>
      <x:c r="E17" s="72"/>
      <x:c r="F17" s="72"/>
    </x:row>
    <x:row r="18">
      <x:c r="B18" s="72"/>
      <x:c r="C18" s="72"/>
      <x:c r="D18" s="72"/>
      <x:c r="E18" s="72"/>
      <x:c r="F18" s="72"/>
    </x:row>
    <x:row r="19">
      <x:c r="B19" s="72"/>
      <x:c r="C19" s="72"/>
      <x:c r="D19" s="72"/>
      <x:c r="E19" s="72"/>
      <x:c r="F19" s="72"/>
    </x:row>
    <x:row r="20">
      <x:c r="B20" s="72"/>
      <x:c r="C20" s="72"/>
      <x:c r="D20" s="72"/>
      <x:c r="E20" s="72"/>
      <x:c r="F20" s="72"/>
    </x:row>
    <x:row r="21">
      <x:c r="B21" s="72"/>
      <x:c r="C21" s="72"/>
      <x:c r="D21" s="72"/>
      <x:c r="E21" s="72"/>
      <x:c r="F21" s="72"/>
    </x:row>
    <x:row r="22">
      <x:c r="B22" s="72"/>
      <x:c r="C22" s="72"/>
      <x:c r="D22" s="72"/>
      <x:c r="E22" s="72"/>
      <x:c r="F22" s="72"/>
    </x:row>
    <x:row r="23">
      <x:c r="B23" s="72"/>
      <x:c r="C23" s="72"/>
      <x:c r="D23" s="72"/>
      <x:c r="E23" s="72"/>
      <x:c r="F23" s="72"/>
    </x:row>
    <x:row r="24">
      <x:c r="B24" s="72"/>
      <x:c r="C24" s="72"/>
      <x:c r="D24" s="72"/>
      <x:c r="E24" s="72"/>
      <x:c r="F24" s="72"/>
    </x:row>
    <x:row r="25">
      <x:c r="B25" s="72"/>
      <x:c r="C25" s="72"/>
      <x:c r="D25" s="72"/>
      <x:c r="E25" s="72"/>
      <x:c r="F25" s="72"/>
    </x:row>
    <x:row r="26">
      <x:c r="B26" s="72"/>
      <x:c r="C26" s="72"/>
      <x:c r="D26" s="72"/>
      <x:c r="E26" s="72"/>
      <x:c r="F26" s="72"/>
    </x:row>
    <x:row r="27">
      <x:c r="B27" s="72"/>
      <x:c r="C27" s="72"/>
      <x:c r="D27" s="72"/>
      <x:c r="E27" s="72"/>
      <x:c r="F27" s="72"/>
    </x:row>
    <x:row r="28">
      <x:c r="B28" s="72"/>
      <x:c r="C28" s="72"/>
      <x:c r="D28" s="72"/>
      <x:c r="E28" s="72"/>
      <x:c r="F28" s="72"/>
    </x:row>
    <x:row r="29">
      <x:c r="B29" s="72"/>
      <x:c r="C29" s="72"/>
      <x:c r="D29" s="72"/>
      <x:c r="E29" s="72"/>
      <x:c r="F29" s="72"/>
    </x:row>
    <x:row r="30">
      <x:c r="B30" s="72"/>
      <x:c r="C30" s="72"/>
      <x:c r="D30" s="72"/>
      <x:c r="E30" s="72"/>
      <x:c r="F30" s="72"/>
    </x:row>
    <x:row r="31">
      <x:c r="B31" s="72"/>
      <x:c r="C31" s="72"/>
      <x:c r="D31" s="72"/>
      <x:c r="E31" s="72"/>
      <x:c r="F31" s="72"/>
    </x:row>
    <x:row r="32">
      <x:c r="B32" s="72"/>
      <x:c r="C32" s="72"/>
      <x:c r="D32" s="72"/>
      <x:c r="E32" s="72"/>
      <x:c r="F32" s="72"/>
    </x:row>
    <x:row r="33">
      <x:c r="B33" s="72"/>
      <x:c r="C33" s="72"/>
      <x:c r="D33" s="72"/>
      <x:c r="E33" s="72"/>
      <x:c r="F33" s="72"/>
    </x:row>
    <x:row r="34">
      <x:c r="B34" s="72"/>
      <x:c r="C34" s="72"/>
      <x:c r="D34" s="72"/>
      <x:c r="E34" s="72"/>
      <x:c r="F34" s="72"/>
    </x:row>
    <x:row r="35">
      <x:c r="B35" s="72"/>
      <x:c r="C35" s="72"/>
      <x:c r="D35" s="72"/>
      <x:c r="E35" s="72"/>
      <x:c r="F35" s="72"/>
    </x:row>
    <x:row r="36">
      <x:c r="B36" s="72"/>
      <x:c r="C36" s="72"/>
      <x:c r="D36" s="72"/>
      <x:c r="E36" s="72"/>
      <x:c r="F36" s="72"/>
    </x:row>
    <x:row r="37">
      <x:c r="B37" s="72"/>
      <x:c r="C37" s="72"/>
      <x:c r="D37" s="72"/>
      <x:c r="E37" s="72"/>
      <x:c r="F37" s="72"/>
    </x:row>
    <x:row r="38">
      <x:c r="B38" s="72"/>
      <x:c r="C38" s="72"/>
      <x:c r="D38" s="72"/>
      <x:c r="E38" s="72"/>
      <x:c r="F38" s="72"/>
    </x:row>
    <x:row r="39">
      <x:c r="B39" s="72"/>
      <x:c r="C39" s="72"/>
      <x:c r="D39" s="72"/>
      <x:c r="E39" s="72"/>
      <x:c r="F39" s="72"/>
    </x:row>
    <x:row r="40">
      <x:c r="B40" s="72"/>
      <x:c r="C40" s="72"/>
      <x:c r="D40" s="72"/>
      <x:c r="E40" s="72"/>
      <x:c r="F40" s="72"/>
    </x:row>
    <x:row r="41">
      <x:c r="B41" s="72"/>
      <x:c r="C41" s="72"/>
      <x:c r="D41" s="72"/>
      <x:c r="E41" s="72"/>
      <x:c r="F41" s="72"/>
    </x:row>
    <x:row r="42">
      <x:c r="B42" s="72"/>
      <x:c r="C42" s="72"/>
      <x:c r="D42" s="72"/>
      <x:c r="E42" s="72"/>
      <x:c r="F42" s="72"/>
    </x:row>
    <x:row r="43">
      <x:c r="B43" s="72"/>
      <x:c r="C43" s="72"/>
      <x:c r="D43" s="72"/>
      <x:c r="E43" s="72"/>
      <x:c r="F43" s="72"/>
    </x:row>
    <x:row r="44">
      <x:c r="B44" s="72"/>
      <x:c r="C44" s="72"/>
      <x:c r="D44" s="72"/>
      <x:c r="E44" s="72"/>
      <x:c r="F44" s="72"/>
    </x:row>
    <x:row r="45">
      <x:c r="B45" s="72"/>
      <x:c r="C45" s="72"/>
      <x:c r="D45" s="72"/>
      <x:c r="E45" s="72"/>
      <x:c r="F45" s="72"/>
    </x:row>
    <x:row r="46">
      <x:c r="B46" s="72"/>
      <x:c r="C46" s="72"/>
      <x:c r="D46" s="72"/>
      <x:c r="E46" s="72"/>
      <x:c r="F46" s="72"/>
    </x:row>
    <x:row r="47">
      <x:c r="B47" s="72"/>
      <x:c r="C47" s="72"/>
      <x:c r="D47" s="72"/>
      <x:c r="E47" s="72"/>
      <x:c r="F47" s="72"/>
    </x:row>
    <x:row r="48">
      <x:c r="B48" s="72"/>
      <x:c r="C48" s="72"/>
      <x:c r="D48" s="72"/>
      <x:c r="E48" s="72"/>
      <x:c r="F48" s="72"/>
    </x:row>
    <x:row r="49">
      <x:c r="B49" s="72"/>
      <x:c r="C49" s="72"/>
      <x:c r="D49" s="72"/>
      <x:c r="E49" s="72"/>
      <x:c r="F49" s="72"/>
    </x:row>
    <x:row r="50">
      <x:c r="B50" s="72"/>
      <x:c r="C50" s="72"/>
      <x:c r="D50" s="72"/>
      <x:c r="E50" s="72"/>
      <x:c r="F50" s="72"/>
    </x:row>
  </x:sheetData>
  <x:mergeCells>
    <x:mergeCell ref="A1:H2"/>
  </x:mergeCells>
  <x:conditionalFormatting sqref="H5:H50">
    <x:cfRule type="expression" dxfId="2" priority="1">
      <x:formula>H5="Validated"</x:formula>
    </x:cfRule>
  </x:conditionalFormatting>
  <x:dataValidations count="2">
    <x:dataValidation type="list" sqref="G5:G50">
      <x:formula1>"Low,Medium,High,Critical"</x:formula1>
    </x:dataValidation>
    <x:dataValidation type="list" sqref="H5:H50">
      <x:formula1>"Not Started,In Progress,Answered,Validated"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afeca55a2044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8" hidden="0" customWidth="1"/>
    <x:col min="5" max="5" width="22" hidden="0" customWidth="1"/>
    <x:col min="6" max="6" width="34" hidden="0" customWidth="1"/>
    <x:col min="7" max="7" width="12" hidden="0" customWidth="1"/>
    <x:col min="8" max="8" width="34" hidden="0" customWidth="1"/>
    <x:col min="9" max="9" width="30" hidden="0" customWidth="1"/>
    <x:col min="10" max="10" width="16" hidden="0" customWidth="1"/>
    <x:col min="11" max="11" width="14" hidden="0" customWidth="1"/>
  </x:cols>
  <x:sheetData>
    <x:row r="1" ht="30" customHeight="1">
      <x:c r="A1" s="5" t="str">
        <x:v>Capstone Data Quality Register</x:v>
      </x:c>
    </x:row>
    <x:row r="4">
      <x:c r="A4" s="51" t="str">
        <x:v>Issue ID</x:v>
      </x:c>
      <x:c r="B4" s="52" t="str">
        <x:v>Dataset</x:v>
      </x:c>
      <x:c r="C4" s="52" t="str">
        <x:v>Record ID</x:v>
      </x:c>
      <x:c r="D4" s="52" t="str">
        <x:v>Field</x:v>
      </x:c>
      <x:c r="E4" s="52" t="str">
        <x:v>Issue Type</x:v>
      </x:c>
      <x:c r="F4" s="52" t="str">
        <x:v>Issue Description</x:v>
      </x:c>
      <x:c r="G4" s="52" t="str">
        <x:v>Severity</x:v>
      </x:c>
      <x:c r="H4" s="52" t="str">
        <x:v>Correction</x:v>
      </x:c>
      <x:c r="I4" s="52" t="str">
        <x:v>Validation Rule</x:v>
      </x:c>
      <x:c r="J4" s="52" t="str">
        <x:v>Owner</x:v>
      </x:c>
      <x:c r="K4" s="53" t="str">
        <x:v>Status</x:v>
      </x:c>
    </x:row>
    <x:row r="5">
      <x:c r="A5" t="str">
        <x:v>DQ-001</x:v>
      </x:c>
      <x:c r="B5" t="str"/>
      <x:c r="C5" t="str"/>
      <x:c r="D5" t="str"/>
      <x:c r="E5" t="str"/>
      <x:c r="F5" s="72" t="str"/>
      <x:c r="G5" s="72" t="str">
        <x:v>Medium</x:v>
      </x:c>
      <x:c r="H5" s="72" t="str"/>
      <x:c r="I5" s="72" t="str"/>
      <x:c r="J5" t="str"/>
      <x:c r="K5" t="str">
        <x:v>Open</x:v>
      </x:c>
    </x:row>
    <x:row r="6">
      <x:c r="A6" t="str">
        <x:v>DQ-002</x:v>
      </x:c>
      <x:c r="B6" t="str"/>
      <x:c r="C6" t="str"/>
      <x:c r="D6" t="str"/>
      <x:c r="E6" t="str"/>
      <x:c r="F6" s="72" t="str"/>
      <x:c r="G6" s="72" t="str">
        <x:v>Medium</x:v>
      </x:c>
      <x:c r="H6" s="72" t="str"/>
      <x:c r="I6" s="72" t="str"/>
      <x:c r="J6" t="str"/>
      <x:c r="K6" t="str">
        <x:v>Open</x:v>
      </x:c>
    </x:row>
    <x:row r="7">
      <x:c r="A7" t="str">
        <x:v>DQ-003</x:v>
      </x:c>
      <x:c r="B7" t="str"/>
      <x:c r="C7" t="str"/>
      <x:c r="D7" t="str"/>
      <x:c r="E7" t="str"/>
      <x:c r="F7" s="72" t="str"/>
      <x:c r="G7" s="72" t="str">
        <x:v>Medium</x:v>
      </x:c>
      <x:c r="H7" s="72" t="str"/>
      <x:c r="I7" s="72" t="str"/>
      <x:c r="J7" t="str"/>
      <x:c r="K7" t="str">
        <x:v>Open</x:v>
      </x:c>
    </x:row>
    <x:row r="8">
      <x:c r="A8" t="str">
        <x:v>DQ-004</x:v>
      </x:c>
      <x:c r="B8" t="str"/>
      <x:c r="C8" t="str"/>
      <x:c r="D8" t="str"/>
      <x:c r="E8" t="str"/>
      <x:c r="F8" s="72" t="str"/>
      <x:c r="G8" s="72" t="str">
        <x:v>Medium</x:v>
      </x:c>
      <x:c r="H8" s="72" t="str"/>
      <x:c r="I8" s="72" t="str"/>
      <x:c r="J8" t="str"/>
      <x:c r="K8" t="str">
        <x:v>Open</x:v>
      </x:c>
    </x:row>
    <x:row r="9">
      <x:c r="A9" t="str">
        <x:v>DQ-005</x:v>
      </x:c>
      <x:c r="B9" t="str"/>
      <x:c r="C9" t="str"/>
      <x:c r="D9" t="str"/>
      <x:c r="E9" t="str"/>
      <x:c r="F9" s="72" t="str"/>
      <x:c r="G9" s="72" t="str">
        <x:v>Medium</x:v>
      </x:c>
      <x:c r="H9" s="72" t="str"/>
      <x:c r="I9" s="72" t="str"/>
      <x:c r="J9" t="str"/>
      <x:c r="K9" t="str">
        <x:v>Open</x:v>
      </x:c>
    </x:row>
    <x:row r="10">
      <x:c r="A10" t="str">
        <x:v>DQ-006</x:v>
      </x:c>
      <x:c r="B10" t="str"/>
      <x:c r="C10" t="str"/>
      <x:c r="D10" t="str"/>
      <x:c r="E10" t="str"/>
      <x:c r="F10" s="72" t="str"/>
      <x:c r="G10" s="72" t="str">
        <x:v>Medium</x:v>
      </x:c>
      <x:c r="H10" s="72" t="str"/>
      <x:c r="I10" s="72" t="str"/>
      <x:c r="J10" t="str"/>
      <x:c r="K10" t="str">
        <x:v>Open</x:v>
      </x:c>
    </x:row>
    <x:row r="11">
      <x:c r="A11" t="str">
        <x:v>DQ-007</x:v>
      </x:c>
      <x:c r="B11" t="str"/>
      <x:c r="C11" t="str"/>
      <x:c r="D11" t="str"/>
      <x:c r="E11" t="str"/>
      <x:c r="F11" s="72" t="str"/>
      <x:c r="G11" s="72" t="str">
        <x:v>Medium</x:v>
      </x:c>
      <x:c r="H11" s="72" t="str"/>
      <x:c r="I11" s="72" t="str"/>
      <x:c r="J11" t="str"/>
      <x:c r="K11" t="str">
        <x:v>Open</x:v>
      </x:c>
    </x:row>
    <x:row r="12">
      <x:c r="A12" t="str">
        <x:v>DQ-008</x:v>
      </x:c>
      <x:c r="B12" t="str"/>
      <x:c r="C12" t="str"/>
      <x:c r="D12" t="str"/>
      <x:c r="E12" t="str"/>
      <x:c r="F12" s="72" t="str"/>
      <x:c r="G12" s="72" t="str">
        <x:v>Medium</x:v>
      </x:c>
      <x:c r="H12" s="72" t="str"/>
      <x:c r="I12" s="72" t="str"/>
      <x:c r="J12" t="str"/>
      <x:c r="K12" t="str">
        <x:v>Open</x:v>
      </x:c>
    </x:row>
    <x:row r="13">
      <x:c r="A13" t="str">
        <x:v>DQ-009</x:v>
      </x:c>
      <x:c r="B13" t="str"/>
      <x:c r="C13" t="str"/>
      <x:c r="D13" t="str"/>
      <x:c r="E13" t="str"/>
      <x:c r="F13" s="72" t="str"/>
      <x:c r="G13" s="72" t="str">
        <x:v>Medium</x:v>
      </x:c>
      <x:c r="H13" s="72" t="str"/>
      <x:c r="I13" s="72" t="str"/>
      <x:c r="J13" t="str"/>
      <x:c r="K13" t="str">
        <x:v>Open</x:v>
      </x:c>
    </x:row>
    <x:row r="14">
      <x:c r="A14" t="str">
        <x:v>DQ-010</x:v>
      </x:c>
      <x:c r="B14" t="str"/>
      <x:c r="C14" t="str"/>
      <x:c r="D14" t="str"/>
      <x:c r="E14" t="str"/>
      <x:c r="F14" s="72" t="str"/>
      <x:c r="G14" s="72" t="str">
        <x:v>Medium</x:v>
      </x:c>
      <x:c r="H14" s="72" t="str"/>
      <x:c r="I14" s="72" t="str"/>
      <x:c r="J14" t="str"/>
      <x:c r="K14" t="str">
        <x:v>Open</x:v>
      </x:c>
    </x:row>
    <x:row r="15">
      <x:c r="A15" t="str">
        <x:v>DQ-011</x:v>
      </x:c>
      <x:c r="B15" t="str"/>
      <x:c r="C15" t="str"/>
      <x:c r="D15" t="str"/>
      <x:c r="E15" t="str"/>
      <x:c r="F15" s="72" t="str"/>
      <x:c r="G15" s="72" t="str">
        <x:v>Medium</x:v>
      </x:c>
      <x:c r="H15" s="72" t="str"/>
      <x:c r="I15" s="72" t="str"/>
      <x:c r="J15" t="str"/>
      <x:c r="K15" t="str">
        <x:v>Open</x:v>
      </x:c>
    </x:row>
    <x:row r="16">
      <x:c r="A16" t="str">
        <x:v>DQ-012</x:v>
      </x:c>
      <x:c r="B16" t="str"/>
      <x:c r="C16" t="str"/>
      <x:c r="D16" t="str"/>
      <x:c r="E16" t="str"/>
      <x:c r="F16" s="72" t="str"/>
      <x:c r="G16" s="72" t="str">
        <x:v>Medium</x:v>
      </x:c>
      <x:c r="H16" s="72" t="str"/>
      <x:c r="I16" s="72" t="str"/>
      <x:c r="J16" t="str"/>
      <x:c r="K16" t="str">
        <x:v>Open</x:v>
      </x:c>
    </x:row>
    <x:row r="17">
      <x:c r="A17" t="str">
        <x:v>DQ-013</x:v>
      </x:c>
      <x:c r="B17" t="str"/>
      <x:c r="C17" t="str"/>
      <x:c r="D17" t="str"/>
      <x:c r="E17" t="str"/>
      <x:c r="F17" s="72" t="str"/>
      <x:c r="G17" s="72" t="str">
        <x:v>Medium</x:v>
      </x:c>
      <x:c r="H17" s="72" t="str"/>
      <x:c r="I17" s="72" t="str"/>
      <x:c r="J17" t="str"/>
      <x:c r="K17" t="str">
        <x:v>Open</x:v>
      </x:c>
    </x:row>
    <x:row r="18">
      <x:c r="A18" t="str">
        <x:v>DQ-014</x:v>
      </x:c>
      <x:c r="B18" t="str"/>
      <x:c r="C18" t="str"/>
      <x:c r="D18" t="str"/>
      <x:c r="E18" t="str"/>
      <x:c r="F18" s="72" t="str"/>
      <x:c r="G18" s="72" t="str">
        <x:v>Medium</x:v>
      </x:c>
      <x:c r="H18" s="72" t="str"/>
      <x:c r="I18" s="72" t="str"/>
      <x:c r="J18" t="str"/>
      <x:c r="K18" t="str">
        <x:v>Open</x:v>
      </x:c>
    </x:row>
    <x:row r="19">
      <x:c r="A19" t="str">
        <x:v>DQ-015</x:v>
      </x:c>
      <x:c r="B19" t="str"/>
      <x:c r="C19" t="str"/>
      <x:c r="D19" t="str"/>
      <x:c r="E19" t="str"/>
      <x:c r="F19" s="72" t="str"/>
      <x:c r="G19" s="72" t="str">
        <x:v>Medium</x:v>
      </x:c>
      <x:c r="H19" s="72" t="str"/>
      <x:c r="I19" s="72" t="str"/>
      <x:c r="J19" t="str"/>
      <x:c r="K19" t="str">
        <x:v>Open</x:v>
      </x:c>
    </x:row>
    <x:row r="20">
      <x:c r="A20" t="str">
        <x:v>DQ-016</x:v>
      </x:c>
      <x:c r="B20" t="str"/>
      <x:c r="C20" t="str"/>
      <x:c r="D20" t="str"/>
      <x:c r="E20" t="str"/>
      <x:c r="F20" s="72" t="str"/>
      <x:c r="G20" s="72" t="str">
        <x:v>Medium</x:v>
      </x:c>
      <x:c r="H20" s="72" t="str"/>
      <x:c r="I20" s="72" t="str"/>
      <x:c r="J20" t="str"/>
      <x:c r="K20" t="str">
        <x:v>Open</x:v>
      </x:c>
    </x:row>
    <x:row r="21">
      <x:c r="A21" t="str">
        <x:v>DQ-017</x:v>
      </x:c>
      <x:c r="B21" t="str"/>
      <x:c r="C21" t="str"/>
      <x:c r="D21" t="str"/>
      <x:c r="E21" t="str"/>
      <x:c r="F21" s="72" t="str"/>
      <x:c r="G21" s="72" t="str">
        <x:v>Medium</x:v>
      </x:c>
      <x:c r="H21" s="72" t="str"/>
      <x:c r="I21" s="72" t="str"/>
      <x:c r="J21" t="str"/>
      <x:c r="K21" t="str">
        <x:v>Open</x:v>
      </x:c>
    </x:row>
    <x:row r="22">
      <x:c r="A22" t="str">
        <x:v>DQ-018</x:v>
      </x:c>
      <x:c r="B22" t="str"/>
      <x:c r="C22" t="str"/>
      <x:c r="D22" t="str"/>
      <x:c r="E22" t="str"/>
      <x:c r="F22" s="72" t="str"/>
      <x:c r="G22" s="72" t="str">
        <x:v>Medium</x:v>
      </x:c>
      <x:c r="H22" s="72" t="str"/>
      <x:c r="I22" s="72" t="str"/>
      <x:c r="J22" t="str"/>
      <x:c r="K22" t="str">
        <x:v>Open</x:v>
      </x:c>
    </x:row>
    <x:row r="23">
      <x:c r="A23" t="str">
        <x:v>DQ-019</x:v>
      </x:c>
      <x:c r="B23" t="str"/>
      <x:c r="C23" t="str"/>
      <x:c r="D23" t="str"/>
      <x:c r="E23" t="str"/>
      <x:c r="F23" s="72" t="str"/>
      <x:c r="G23" s="72" t="str">
        <x:v>Medium</x:v>
      </x:c>
      <x:c r="H23" s="72" t="str"/>
      <x:c r="I23" s="72" t="str"/>
      <x:c r="J23" t="str"/>
      <x:c r="K23" t="str">
        <x:v>Open</x:v>
      </x:c>
    </x:row>
    <x:row r="24">
      <x:c r="A24" t="str">
        <x:v>DQ-020</x:v>
      </x:c>
      <x:c r="B24" t="str"/>
      <x:c r="C24" t="str"/>
      <x:c r="D24" t="str"/>
      <x:c r="E24" t="str"/>
      <x:c r="F24" s="72" t="str"/>
      <x:c r="G24" s="72" t="str">
        <x:v>Medium</x:v>
      </x:c>
      <x:c r="H24" s="72" t="str"/>
      <x:c r="I24" s="72" t="str"/>
      <x:c r="J24" t="str"/>
      <x:c r="K24" t="str">
        <x:v>Open</x:v>
      </x:c>
    </x:row>
    <x:row r="25">
      <x:c r="A25" t="str">
        <x:v>DQ-021</x:v>
      </x:c>
      <x:c r="B25" t="str"/>
      <x:c r="C25" t="str"/>
      <x:c r="D25" t="str"/>
      <x:c r="E25" t="str"/>
      <x:c r="F25" s="72" t="str"/>
      <x:c r="G25" s="72" t="str">
        <x:v>Medium</x:v>
      </x:c>
      <x:c r="H25" s="72" t="str"/>
      <x:c r="I25" s="72" t="str"/>
      <x:c r="J25" t="str"/>
      <x:c r="K25" t="str">
        <x:v>Open</x:v>
      </x:c>
    </x:row>
    <x:row r="26">
      <x:c r="A26" t="str">
        <x:v>DQ-022</x:v>
      </x:c>
      <x:c r="B26" t="str"/>
      <x:c r="C26" t="str"/>
      <x:c r="D26" t="str"/>
      <x:c r="E26" t="str"/>
      <x:c r="F26" s="72" t="str"/>
      <x:c r="G26" s="72" t="str">
        <x:v>Medium</x:v>
      </x:c>
      <x:c r="H26" s="72" t="str"/>
      <x:c r="I26" s="72" t="str"/>
      <x:c r="J26" t="str"/>
      <x:c r="K26" t="str">
        <x:v>Open</x:v>
      </x:c>
    </x:row>
    <x:row r="27">
      <x:c r="A27" t="str">
        <x:v>DQ-023</x:v>
      </x:c>
      <x:c r="B27" t="str"/>
      <x:c r="C27" t="str"/>
      <x:c r="D27" t="str"/>
      <x:c r="E27" t="str"/>
      <x:c r="F27" s="72" t="str"/>
      <x:c r="G27" s="72" t="str">
        <x:v>Medium</x:v>
      </x:c>
      <x:c r="H27" s="72" t="str"/>
      <x:c r="I27" s="72" t="str"/>
      <x:c r="J27" t="str"/>
      <x:c r="K27" t="str">
        <x:v>Open</x:v>
      </x:c>
    </x:row>
    <x:row r="28">
      <x:c r="A28" t="str">
        <x:v>DQ-024</x:v>
      </x:c>
      <x:c r="B28" t="str"/>
      <x:c r="C28" t="str"/>
      <x:c r="D28" t="str"/>
      <x:c r="E28" t="str"/>
      <x:c r="F28" s="72" t="str"/>
      <x:c r="G28" s="72" t="str">
        <x:v>Medium</x:v>
      </x:c>
      <x:c r="H28" s="72" t="str"/>
      <x:c r="I28" s="72" t="str"/>
      <x:c r="J28" t="str"/>
      <x:c r="K28" t="str">
        <x:v>Open</x:v>
      </x:c>
    </x:row>
    <x:row r="29">
      <x:c r="A29" t="str">
        <x:v>DQ-025</x:v>
      </x:c>
      <x:c r="B29" t="str"/>
      <x:c r="C29" t="str"/>
      <x:c r="D29" t="str"/>
      <x:c r="E29" t="str"/>
      <x:c r="F29" s="72" t="str"/>
      <x:c r="G29" s="72" t="str">
        <x:v>Medium</x:v>
      </x:c>
      <x:c r="H29" s="72" t="str"/>
      <x:c r="I29" s="72" t="str"/>
      <x:c r="J29" t="str"/>
      <x:c r="K29" t="str">
        <x:v>Open</x:v>
      </x:c>
    </x:row>
    <x:row r="30">
      <x:c r="A30" t="str">
        <x:v>DQ-026</x:v>
      </x:c>
      <x:c r="B30" t="str"/>
      <x:c r="C30" t="str"/>
      <x:c r="D30" t="str"/>
      <x:c r="E30" t="str"/>
      <x:c r="F30" s="72" t="str"/>
      <x:c r="G30" s="72" t="str">
        <x:v>Medium</x:v>
      </x:c>
      <x:c r="H30" s="72" t="str"/>
      <x:c r="I30" s="72" t="str"/>
      <x:c r="J30" t="str"/>
      <x:c r="K30" t="str">
        <x:v>Open</x:v>
      </x:c>
    </x:row>
    <x:row r="31">
      <x:c r="A31" t="str">
        <x:v>DQ-027</x:v>
      </x:c>
      <x:c r="B31" t="str"/>
      <x:c r="C31" t="str"/>
      <x:c r="D31" t="str"/>
      <x:c r="E31" t="str"/>
      <x:c r="F31" s="72" t="str"/>
      <x:c r="G31" s="72" t="str">
        <x:v>Medium</x:v>
      </x:c>
      <x:c r="H31" s="72" t="str"/>
      <x:c r="I31" s="72" t="str"/>
      <x:c r="J31" t="str"/>
      <x:c r="K31" t="str">
        <x:v>Open</x:v>
      </x:c>
    </x:row>
    <x:row r="32">
      <x:c r="A32" t="str">
        <x:v>DQ-028</x:v>
      </x:c>
      <x:c r="B32" t="str"/>
      <x:c r="C32" t="str"/>
      <x:c r="D32" t="str"/>
      <x:c r="E32" t="str"/>
      <x:c r="F32" s="72" t="str"/>
      <x:c r="G32" s="72" t="str">
        <x:v>Medium</x:v>
      </x:c>
      <x:c r="H32" s="72" t="str"/>
      <x:c r="I32" s="72" t="str"/>
      <x:c r="J32" t="str"/>
      <x:c r="K32" t="str">
        <x:v>Open</x:v>
      </x:c>
    </x:row>
    <x:row r="33">
      <x:c r="A33" t="str">
        <x:v>DQ-029</x:v>
      </x:c>
      <x:c r="B33" t="str"/>
      <x:c r="C33" t="str"/>
      <x:c r="D33" t="str"/>
      <x:c r="E33" t="str"/>
      <x:c r="F33" s="72" t="str"/>
      <x:c r="G33" s="72" t="str">
        <x:v>Medium</x:v>
      </x:c>
      <x:c r="H33" s="72" t="str"/>
      <x:c r="I33" s="72" t="str"/>
      <x:c r="J33" t="str"/>
      <x:c r="K33" t="str">
        <x:v>Open</x:v>
      </x:c>
    </x:row>
    <x:row r="34">
      <x:c r="A34" t="str">
        <x:v>DQ-030</x:v>
      </x:c>
      <x:c r="B34" t="str"/>
      <x:c r="C34" t="str"/>
      <x:c r="D34" t="str"/>
      <x:c r="E34" t="str"/>
      <x:c r="F34" s="72" t="str"/>
      <x:c r="G34" s="72" t="str">
        <x:v>Medium</x:v>
      </x:c>
      <x:c r="H34" s="72" t="str"/>
      <x:c r="I34" s="72" t="str"/>
      <x:c r="J34" t="str"/>
      <x:c r="K34" t="str">
        <x:v>Open</x:v>
      </x:c>
    </x:row>
    <x:row r="35">
      <x:c r="A35" t="str">
        <x:v>DQ-031</x:v>
      </x:c>
      <x:c r="B35" t="str"/>
      <x:c r="C35" t="str"/>
      <x:c r="D35" t="str"/>
      <x:c r="E35" t="str"/>
      <x:c r="F35" s="72" t="str"/>
      <x:c r="G35" s="72" t="str">
        <x:v>Medium</x:v>
      </x:c>
      <x:c r="H35" s="72" t="str"/>
      <x:c r="I35" s="72" t="str"/>
      <x:c r="J35" t="str"/>
      <x:c r="K35" t="str">
        <x:v>Open</x:v>
      </x:c>
    </x:row>
    <x:row r="36">
      <x:c r="A36" t="str">
        <x:v>DQ-032</x:v>
      </x:c>
      <x:c r="B36" t="str"/>
      <x:c r="C36" t="str"/>
      <x:c r="D36" t="str"/>
      <x:c r="E36" t="str"/>
      <x:c r="F36" s="72" t="str"/>
      <x:c r="G36" s="72" t="str">
        <x:v>Medium</x:v>
      </x:c>
      <x:c r="H36" s="72" t="str"/>
      <x:c r="I36" s="72" t="str"/>
      <x:c r="J36" t="str"/>
      <x:c r="K36" t="str">
        <x:v>Open</x:v>
      </x:c>
    </x:row>
    <x:row r="37">
      <x:c r="A37" t="str">
        <x:v>DQ-033</x:v>
      </x:c>
      <x:c r="B37" t="str"/>
      <x:c r="C37" t="str"/>
      <x:c r="D37" t="str"/>
      <x:c r="E37" t="str"/>
      <x:c r="F37" s="72" t="str"/>
      <x:c r="G37" s="72" t="str">
        <x:v>Medium</x:v>
      </x:c>
      <x:c r="H37" s="72" t="str"/>
      <x:c r="I37" s="72" t="str"/>
      <x:c r="J37" t="str"/>
      <x:c r="K37" t="str">
        <x:v>Open</x:v>
      </x:c>
    </x:row>
    <x:row r="38">
      <x:c r="A38" t="str">
        <x:v>DQ-034</x:v>
      </x:c>
      <x:c r="B38" t="str"/>
      <x:c r="C38" t="str"/>
      <x:c r="D38" t="str"/>
      <x:c r="E38" t="str"/>
      <x:c r="F38" s="72" t="str"/>
      <x:c r="G38" s="72" t="str">
        <x:v>Medium</x:v>
      </x:c>
      <x:c r="H38" s="72" t="str"/>
      <x:c r="I38" s="72" t="str"/>
      <x:c r="J38" t="str"/>
      <x:c r="K38" t="str">
        <x:v>Open</x:v>
      </x:c>
    </x:row>
    <x:row r="39">
      <x:c r="A39" t="str">
        <x:v>DQ-035</x:v>
      </x:c>
      <x:c r="B39" t="str"/>
      <x:c r="C39" t="str"/>
      <x:c r="D39" t="str"/>
      <x:c r="E39" t="str"/>
      <x:c r="F39" s="72" t="str"/>
      <x:c r="G39" s="72" t="str">
        <x:v>Medium</x:v>
      </x:c>
      <x:c r="H39" s="72" t="str"/>
      <x:c r="I39" s="72" t="str"/>
      <x:c r="J39" t="str"/>
      <x:c r="K39" t="str">
        <x:v>Open</x:v>
      </x:c>
    </x:row>
    <x:row r="40">
      <x:c r="A40" t="str">
        <x:v>DQ-036</x:v>
      </x:c>
      <x:c r="B40" t="str"/>
      <x:c r="C40" t="str"/>
      <x:c r="D40" t="str"/>
      <x:c r="E40" t="str"/>
      <x:c r="F40" s="72" t="str"/>
      <x:c r="G40" s="72" t="str">
        <x:v>Medium</x:v>
      </x:c>
      <x:c r="H40" s="72" t="str"/>
      <x:c r="I40" s="72" t="str"/>
      <x:c r="J40" t="str"/>
      <x:c r="K40" t="str">
        <x:v>Open</x:v>
      </x:c>
    </x:row>
    <x:row r="41">
      <x:c r="A41" t="str">
        <x:v>DQ-037</x:v>
      </x:c>
      <x:c r="B41" t="str"/>
      <x:c r="C41" t="str"/>
      <x:c r="D41" t="str"/>
      <x:c r="E41" t="str"/>
      <x:c r="F41" s="72" t="str"/>
      <x:c r="G41" s="72" t="str">
        <x:v>Medium</x:v>
      </x:c>
      <x:c r="H41" s="72" t="str"/>
      <x:c r="I41" s="72" t="str"/>
      <x:c r="J41" t="str"/>
      <x:c r="K41" t="str">
        <x:v>Open</x:v>
      </x:c>
    </x:row>
    <x:row r="42">
      <x:c r="A42" t="str">
        <x:v>DQ-038</x:v>
      </x:c>
      <x:c r="B42" t="str"/>
      <x:c r="C42" t="str"/>
      <x:c r="D42" t="str"/>
      <x:c r="E42" t="str"/>
      <x:c r="F42" s="72" t="str"/>
      <x:c r="G42" s="72" t="str">
        <x:v>Medium</x:v>
      </x:c>
      <x:c r="H42" s="72" t="str"/>
      <x:c r="I42" s="72" t="str"/>
      <x:c r="J42" t="str"/>
      <x:c r="K42" t="str">
        <x:v>Open</x:v>
      </x:c>
    </x:row>
    <x:row r="43">
      <x:c r="A43" t="str">
        <x:v>DQ-039</x:v>
      </x:c>
      <x:c r="B43" t="str"/>
      <x:c r="C43" t="str"/>
      <x:c r="D43" t="str"/>
      <x:c r="E43" t="str"/>
      <x:c r="F43" s="72" t="str"/>
      <x:c r="G43" s="72" t="str">
        <x:v>Medium</x:v>
      </x:c>
      <x:c r="H43" s="72" t="str"/>
      <x:c r="I43" s="72" t="str"/>
      <x:c r="J43" t="str"/>
      <x:c r="K43" t="str">
        <x:v>Open</x:v>
      </x:c>
    </x:row>
    <x:row r="44">
      <x:c r="A44" t="str">
        <x:v>DQ-040</x:v>
      </x:c>
      <x:c r="B44" t="str"/>
      <x:c r="C44" t="str"/>
      <x:c r="D44" t="str"/>
      <x:c r="E44" t="str"/>
      <x:c r="F44" s="72" t="str"/>
      <x:c r="G44" s="72" t="str">
        <x:v>Medium</x:v>
      </x:c>
      <x:c r="H44" s="72" t="str"/>
      <x:c r="I44" s="72" t="str"/>
      <x:c r="J44" t="str"/>
      <x:c r="K44" t="str">
        <x:v>Open</x:v>
      </x:c>
    </x:row>
    <x:row r="45">
      <x:c r="A45" t="str">
        <x:v>DQ-041</x:v>
      </x:c>
      <x:c r="B45" t="str"/>
      <x:c r="C45" t="str"/>
      <x:c r="D45" t="str"/>
      <x:c r="E45" t="str"/>
      <x:c r="F45" s="72" t="str"/>
      <x:c r="G45" s="72" t="str">
        <x:v>Medium</x:v>
      </x:c>
      <x:c r="H45" s="72" t="str"/>
      <x:c r="I45" s="72" t="str"/>
      <x:c r="J45" t="str"/>
      <x:c r="K45" t="str">
        <x:v>Open</x:v>
      </x:c>
    </x:row>
    <x:row r="46">
      <x:c r="A46" t="str">
        <x:v>DQ-042</x:v>
      </x:c>
      <x:c r="B46" t="str"/>
      <x:c r="C46" t="str"/>
      <x:c r="D46" t="str"/>
      <x:c r="E46" t="str"/>
      <x:c r="F46" s="72" t="str"/>
      <x:c r="G46" s="72" t="str">
        <x:v>Medium</x:v>
      </x:c>
      <x:c r="H46" s="72" t="str"/>
      <x:c r="I46" s="72" t="str"/>
      <x:c r="J46" t="str"/>
      <x:c r="K46" t="str">
        <x:v>Open</x:v>
      </x:c>
    </x:row>
    <x:row r="47">
      <x:c r="A47" t="str">
        <x:v>DQ-043</x:v>
      </x:c>
      <x:c r="B47" t="str"/>
      <x:c r="C47" t="str"/>
      <x:c r="D47" t="str"/>
      <x:c r="E47" t="str"/>
      <x:c r="F47" s="72" t="str"/>
      <x:c r="G47" s="72" t="str">
        <x:v>Medium</x:v>
      </x:c>
      <x:c r="H47" s="72" t="str"/>
      <x:c r="I47" s="72" t="str"/>
      <x:c r="J47" t="str"/>
      <x:c r="K47" t="str">
        <x:v>Open</x:v>
      </x:c>
    </x:row>
    <x:row r="48">
      <x:c r="A48" t="str">
        <x:v>DQ-044</x:v>
      </x:c>
      <x:c r="B48" t="str"/>
      <x:c r="C48" t="str"/>
      <x:c r="D48" t="str"/>
      <x:c r="E48" t="str"/>
      <x:c r="F48" s="72" t="str"/>
      <x:c r="G48" s="72" t="str">
        <x:v>Medium</x:v>
      </x:c>
      <x:c r="H48" s="72" t="str"/>
      <x:c r="I48" s="72" t="str"/>
      <x:c r="J48" t="str"/>
      <x:c r="K48" t="str">
        <x:v>Open</x:v>
      </x:c>
    </x:row>
    <x:row r="49">
      <x:c r="A49" t="str">
        <x:v>DQ-045</x:v>
      </x:c>
      <x:c r="B49" t="str"/>
      <x:c r="C49" t="str"/>
      <x:c r="D49" t="str"/>
      <x:c r="E49" t="str"/>
      <x:c r="F49" s="72" t="str"/>
      <x:c r="G49" s="72" t="str">
        <x:v>Medium</x:v>
      </x:c>
      <x:c r="H49" s="72" t="str"/>
      <x:c r="I49" s="72" t="str"/>
      <x:c r="J49" t="str"/>
      <x:c r="K49" t="str">
        <x:v>Open</x:v>
      </x:c>
    </x:row>
    <x:row r="50">
      <x:c r="A50" t="str">
        <x:v>DQ-046</x:v>
      </x:c>
      <x:c r="B50" t="str"/>
      <x:c r="C50" t="str"/>
      <x:c r="D50" t="str"/>
      <x:c r="E50" t="str"/>
      <x:c r="F50" s="72" t="str"/>
      <x:c r="G50" s="72" t="str">
        <x:v>Medium</x:v>
      </x:c>
      <x:c r="H50" s="72" t="str"/>
      <x:c r="I50" s="72" t="str"/>
      <x:c r="J50" t="str"/>
      <x:c r="K50" t="str">
        <x:v>Open</x:v>
      </x:c>
    </x:row>
    <x:row r="51">
      <x:c r="A51" t="str">
        <x:v>DQ-047</x:v>
      </x:c>
      <x:c r="B51" t="str"/>
      <x:c r="C51" t="str"/>
      <x:c r="D51" t="str"/>
      <x:c r="E51" t="str"/>
      <x:c r="F51" s="72" t="str"/>
      <x:c r="G51" s="72" t="str">
        <x:v>Medium</x:v>
      </x:c>
      <x:c r="H51" s="72" t="str"/>
      <x:c r="I51" s="72" t="str"/>
      <x:c r="J51" t="str"/>
      <x:c r="K51" t="str">
        <x:v>Open</x:v>
      </x:c>
    </x:row>
    <x:row r="52">
      <x:c r="A52" t="str">
        <x:v>DQ-048</x:v>
      </x:c>
      <x:c r="B52" t="str"/>
      <x:c r="C52" t="str"/>
      <x:c r="D52" t="str"/>
      <x:c r="E52" t="str"/>
      <x:c r="F52" s="72" t="str"/>
      <x:c r="G52" s="72" t="str">
        <x:v>Medium</x:v>
      </x:c>
      <x:c r="H52" s="72" t="str"/>
      <x:c r="I52" s="72" t="str"/>
      <x:c r="J52" t="str"/>
      <x:c r="K52" t="str">
        <x:v>Open</x:v>
      </x:c>
    </x:row>
    <x:row r="53">
      <x:c r="A53" t="str">
        <x:v>DQ-049</x:v>
      </x:c>
      <x:c r="B53" t="str"/>
      <x:c r="C53" t="str"/>
      <x:c r="D53" t="str"/>
      <x:c r="E53" t="str"/>
      <x:c r="F53" s="72" t="str"/>
      <x:c r="G53" s="72" t="str">
        <x:v>Medium</x:v>
      </x:c>
      <x:c r="H53" s="72" t="str"/>
      <x:c r="I53" s="72" t="str"/>
      <x:c r="J53" t="str"/>
      <x:c r="K53" t="str">
        <x:v>Open</x:v>
      </x:c>
    </x:row>
    <x:row r="54">
      <x:c r="A54" t="str">
        <x:v>DQ-050</x:v>
      </x:c>
      <x:c r="B54" t="str"/>
      <x:c r="C54" t="str"/>
      <x:c r="D54" t="str"/>
      <x:c r="E54" t="str"/>
      <x:c r="F54" s="72" t="str"/>
      <x:c r="G54" s="72" t="str">
        <x:v>Medium</x:v>
      </x:c>
      <x:c r="H54" s="72" t="str"/>
      <x:c r="I54" s="72" t="str"/>
      <x:c r="J54" t="str"/>
      <x:c r="K54" t="str">
        <x:v>Open</x:v>
      </x:c>
    </x:row>
  </x:sheetData>
  <x:mergeCells>
    <x:mergeCell ref="A1:K2"/>
  </x:mergeCells>
  <x:conditionalFormatting sqref="G5:G54">
    <x:cfRule type="expression" dxfId="3" priority="1">
      <x:formula>G5="Critical"</x:formula>
    </x:cfRule>
    <x:cfRule type="expression" dxfId="4" priority="2">
      <x:formula>G5="High"</x:formula>
    </x:cfRule>
  </x:conditionalFormatting>
  <x:conditionalFormatting sqref="K5:K54">
    <x:cfRule type="expression" dxfId="5" priority="3">
      <x:formula>K5="Validated"</x:formula>
    </x:cfRule>
  </x:conditionalFormatting>
  <x:dataValidations count="3">
    <x:dataValidation type="list" sqref="E5:E54">
      <x:formula1>"Duplicate,Missing Value,Invalid Format,Inconsistent Category,Impossible Value,Referential Error,Incorrect Calculation,Other"</x:formula1>
    </x:dataValidation>
    <x:dataValidation type="list" sqref="G5:G54">
      <x:formula1>"Low,Medium,High,Critical"</x:formula1>
    </x:dataValidation>
    <x:dataValidation type="list" sqref="K5:K54">
      <x:formula1>"Open,Corrected,Validated,Accepted"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2666907e6e49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28" hidden="0" customWidth="1"/>
    <x:col min="5" max="5" width="30" hidden="0" customWidth="1"/>
    <x:col min="6" max="6" width="32" hidden="0" customWidth="1"/>
    <x:col min="7" max="7" width="16" hidden="0" customWidth="1"/>
    <x:col min="8" max="8" width="28" hidden="0" customWidth="1"/>
    <x:col min="9" max="9" width="34" hidden="0" customWidth="1"/>
  </x:cols>
  <x:sheetData>
    <x:row r="1" ht="30" customHeight="1">
      <x:c r="A1" s="5" t="str">
        <x:v>SQL Query and Validation Log</x:v>
      </x:c>
    </x:row>
    <x:row r="4">
      <x:c r="A4" s="51" t="str">
        <x:v>Query ID</x:v>
      </x:c>
      <x:c r="B4" s="52" t="str">
        <x:v>Business Question</x:v>
      </x:c>
      <x:c r="C4" s="52" t="str">
        <x:v>SQL Objective</x:v>
      </x:c>
      <x:c r="D4" s="52" t="str">
        <x:v>Tables Used</x:v>
      </x:c>
      <x:c r="E4" s="52" t="str">
        <x:v>Expected Result</x:v>
      </x:c>
      <x:c r="F4" s="52" t="str">
        <x:v>Validation Performed</x:v>
      </x:c>
      <x:c r="G4" s="52" t="str">
        <x:v>Result Status</x:v>
      </x:c>
      <x:c r="H4" s="52" t="str">
        <x:v>File / Query Reference</x:v>
      </x:c>
      <x:c r="I4" s="53" t="str">
        <x:v>Reviewer Notes</x:v>
      </x:c>
    </x:row>
    <x:row r="5">
      <x:c r="A5" t="str">
        <x:v>SQL-001</x:v>
      </x:c>
      <x:c r="B5" s="72" t="str"/>
      <x:c r="C5" s="72" t="str"/>
      <x:c r="D5" s="72" t="str"/>
      <x:c r="E5" s="72" t="str"/>
      <x:c r="F5" s="72" t="str"/>
      <x:c r="G5" t="str">
        <x:v>Not Tested</x:v>
      </x:c>
      <x:c r="H5" s="72" t="str"/>
      <x:c r="I5" s="72" t="str"/>
    </x:row>
    <x:row r="6">
      <x:c r="A6" t="str">
        <x:v>SQL-002</x:v>
      </x:c>
      <x:c r="B6" s="72" t="str"/>
      <x:c r="C6" s="72" t="str"/>
      <x:c r="D6" s="72" t="str"/>
      <x:c r="E6" s="72" t="str"/>
      <x:c r="F6" s="72" t="str"/>
      <x:c r="G6" t="str">
        <x:v>Not Tested</x:v>
      </x:c>
      <x:c r="H6" s="72" t="str"/>
      <x:c r="I6" s="72" t="str"/>
    </x:row>
    <x:row r="7">
      <x:c r="A7" t="str">
        <x:v>SQL-003</x:v>
      </x:c>
      <x:c r="B7" s="72" t="str"/>
      <x:c r="C7" s="72" t="str"/>
      <x:c r="D7" s="72" t="str"/>
      <x:c r="E7" s="72" t="str"/>
      <x:c r="F7" s="72" t="str"/>
      <x:c r="G7" t="str">
        <x:v>Not Tested</x:v>
      </x:c>
      <x:c r="H7" s="72" t="str"/>
      <x:c r="I7" s="72" t="str"/>
    </x:row>
    <x:row r="8">
      <x:c r="A8" t="str">
        <x:v>SQL-004</x:v>
      </x:c>
      <x:c r="B8" s="72" t="str"/>
      <x:c r="C8" s="72" t="str"/>
      <x:c r="D8" s="72" t="str"/>
      <x:c r="E8" s="72" t="str"/>
      <x:c r="F8" s="72" t="str"/>
      <x:c r="G8" t="str">
        <x:v>Not Tested</x:v>
      </x:c>
      <x:c r="H8" s="72" t="str"/>
      <x:c r="I8" s="72" t="str"/>
    </x:row>
    <x:row r="9">
      <x:c r="A9" t="str">
        <x:v>SQL-005</x:v>
      </x:c>
      <x:c r="B9" s="72" t="str"/>
      <x:c r="C9" s="72" t="str"/>
      <x:c r="D9" s="72" t="str"/>
      <x:c r="E9" s="72" t="str"/>
      <x:c r="F9" s="72" t="str"/>
      <x:c r="G9" t="str">
        <x:v>Not Tested</x:v>
      </x:c>
      <x:c r="H9" s="72" t="str"/>
      <x:c r="I9" s="72" t="str"/>
    </x:row>
    <x:row r="10">
      <x:c r="A10" t="str">
        <x:v>SQL-006</x:v>
      </x:c>
      <x:c r="B10" s="72" t="str"/>
      <x:c r="C10" s="72" t="str"/>
      <x:c r="D10" s="72" t="str"/>
      <x:c r="E10" s="72" t="str"/>
      <x:c r="F10" s="72" t="str"/>
      <x:c r="G10" t="str">
        <x:v>Not Tested</x:v>
      </x:c>
      <x:c r="H10" s="72" t="str"/>
      <x:c r="I10" s="72" t="str"/>
    </x:row>
    <x:row r="11">
      <x:c r="A11" t="str">
        <x:v>SQL-007</x:v>
      </x:c>
      <x:c r="B11" s="72" t="str"/>
      <x:c r="C11" s="72" t="str"/>
      <x:c r="D11" s="72" t="str"/>
      <x:c r="E11" s="72" t="str"/>
      <x:c r="F11" s="72" t="str"/>
      <x:c r="G11" t="str">
        <x:v>Not Tested</x:v>
      </x:c>
      <x:c r="H11" s="72" t="str"/>
      <x:c r="I11" s="72" t="str"/>
    </x:row>
    <x:row r="12">
      <x:c r="A12" t="str">
        <x:v>SQL-008</x:v>
      </x:c>
      <x:c r="B12" s="72" t="str"/>
      <x:c r="C12" s="72" t="str"/>
      <x:c r="D12" s="72" t="str"/>
      <x:c r="E12" s="72" t="str"/>
      <x:c r="F12" s="72" t="str"/>
      <x:c r="G12" t="str">
        <x:v>Not Tested</x:v>
      </x:c>
      <x:c r="H12" s="72" t="str"/>
      <x:c r="I12" s="72" t="str"/>
    </x:row>
    <x:row r="13">
      <x:c r="A13" t="str">
        <x:v>SQL-009</x:v>
      </x:c>
      <x:c r="B13" s="72" t="str"/>
      <x:c r="C13" s="72" t="str"/>
      <x:c r="D13" s="72" t="str"/>
      <x:c r="E13" s="72" t="str"/>
      <x:c r="F13" s="72" t="str"/>
      <x:c r="G13" t="str">
        <x:v>Not Tested</x:v>
      </x:c>
      <x:c r="H13" s="72" t="str"/>
      <x:c r="I13" s="72" t="str"/>
    </x:row>
    <x:row r="14">
      <x:c r="A14" t="str">
        <x:v>SQL-010</x:v>
      </x:c>
      <x:c r="B14" s="72" t="str"/>
      <x:c r="C14" s="72" t="str"/>
      <x:c r="D14" s="72" t="str"/>
      <x:c r="E14" s="72" t="str"/>
      <x:c r="F14" s="72" t="str"/>
      <x:c r="G14" t="str">
        <x:v>Not Tested</x:v>
      </x:c>
      <x:c r="H14" s="72" t="str"/>
      <x:c r="I14" s="72" t="str"/>
    </x:row>
    <x:row r="15">
      <x:c r="A15" t="str">
        <x:v>SQL-011</x:v>
      </x:c>
      <x:c r="B15" s="72" t="str"/>
      <x:c r="C15" s="72" t="str"/>
      <x:c r="D15" s="72" t="str"/>
      <x:c r="E15" s="72" t="str"/>
      <x:c r="F15" s="72" t="str"/>
      <x:c r="G15" t="str">
        <x:v>Not Tested</x:v>
      </x:c>
      <x:c r="H15" s="72" t="str"/>
      <x:c r="I15" s="72" t="str"/>
    </x:row>
    <x:row r="16">
      <x:c r="A16" t="str">
        <x:v>SQL-012</x:v>
      </x:c>
      <x:c r="B16" s="72" t="str"/>
      <x:c r="C16" s="72" t="str"/>
      <x:c r="D16" s="72" t="str"/>
      <x:c r="E16" s="72" t="str"/>
      <x:c r="F16" s="72" t="str"/>
      <x:c r="G16" t="str">
        <x:v>Not Tested</x:v>
      </x:c>
      <x:c r="H16" s="72" t="str"/>
      <x:c r="I16" s="72" t="str"/>
    </x:row>
    <x:row r="17">
      <x:c r="A17" t="str">
        <x:v>SQL-013</x:v>
      </x:c>
      <x:c r="B17" s="72" t="str"/>
      <x:c r="C17" s="72" t="str"/>
      <x:c r="D17" s="72" t="str"/>
      <x:c r="E17" s="72" t="str"/>
      <x:c r="F17" s="72" t="str"/>
      <x:c r="G17" t="str">
        <x:v>Not Tested</x:v>
      </x:c>
      <x:c r="H17" s="72" t="str"/>
      <x:c r="I17" s="72" t="str"/>
    </x:row>
    <x:row r="18">
      <x:c r="A18" t="str">
        <x:v>SQL-014</x:v>
      </x:c>
      <x:c r="B18" s="72" t="str"/>
      <x:c r="C18" s="72" t="str"/>
      <x:c r="D18" s="72" t="str"/>
      <x:c r="E18" s="72" t="str"/>
      <x:c r="F18" s="72" t="str"/>
      <x:c r="G18" t="str">
        <x:v>Not Tested</x:v>
      </x:c>
      <x:c r="H18" s="72" t="str"/>
      <x:c r="I18" s="72" t="str"/>
    </x:row>
    <x:row r="19">
      <x:c r="A19" t="str">
        <x:v>SQL-015</x:v>
      </x:c>
      <x:c r="B19" s="72" t="str"/>
      <x:c r="C19" s="72" t="str"/>
      <x:c r="D19" s="72" t="str"/>
      <x:c r="E19" s="72" t="str"/>
      <x:c r="F19" s="72" t="str"/>
      <x:c r="G19" t="str">
        <x:v>Not Tested</x:v>
      </x:c>
      <x:c r="H19" s="72" t="str"/>
      <x:c r="I19" s="72" t="str"/>
    </x:row>
    <x:row r="20">
      <x:c r="A20" t="str">
        <x:v>SQL-016</x:v>
      </x:c>
      <x:c r="B20" s="72" t="str"/>
      <x:c r="C20" s="72" t="str"/>
      <x:c r="D20" s="72" t="str"/>
      <x:c r="E20" s="72" t="str"/>
      <x:c r="F20" s="72" t="str"/>
      <x:c r="G20" t="str">
        <x:v>Not Tested</x:v>
      </x:c>
      <x:c r="H20" s="72" t="str"/>
      <x:c r="I20" s="72" t="str"/>
    </x:row>
    <x:row r="21">
      <x:c r="A21" t="str">
        <x:v>SQL-017</x:v>
      </x:c>
      <x:c r="B21" s="72" t="str"/>
      <x:c r="C21" s="72" t="str"/>
      <x:c r="D21" s="72" t="str"/>
      <x:c r="E21" s="72" t="str"/>
      <x:c r="F21" s="72" t="str"/>
      <x:c r="G21" t="str">
        <x:v>Not Tested</x:v>
      </x:c>
      <x:c r="H21" s="72" t="str"/>
      <x:c r="I21" s="72" t="str"/>
    </x:row>
    <x:row r="22">
      <x:c r="A22" t="str">
        <x:v>SQL-018</x:v>
      </x:c>
      <x:c r="B22" s="72" t="str"/>
      <x:c r="C22" s="72" t="str"/>
      <x:c r="D22" s="72" t="str"/>
      <x:c r="E22" s="72" t="str"/>
      <x:c r="F22" s="72" t="str"/>
      <x:c r="G22" t="str">
        <x:v>Not Tested</x:v>
      </x:c>
      <x:c r="H22" s="72" t="str"/>
      <x:c r="I22" s="72" t="str"/>
    </x:row>
    <x:row r="23">
      <x:c r="A23" t="str">
        <x:v>SQL-019</x:v>
      </x:c>
      <x:c r="B23" s="72" t="str"/>
      <x:c r="C23" s="72" t="str"/>
      <x:c r="D23" s="72" t="str"/>
      <x:c r="E23" s="72" t="str"/>
      <x:c r="F23" s="72" t="str"/>
      <x:c r="G23" t="str">
        <x:v>Not Tested</x:v>
      </x:c>
      <x:c r="H23" s="72" t="str"/>
      <x:c r="I23" s="72" t="str"/>
    </x:row>
    <x:row r="24">
      <x:c r="A24" t="str">
        <x:v>SQL-020</x:v>
      </x:c>
      <x:c r="B24" s="72" t="str"/>
      <x:c r="C24" s="72" t="str"/>
      <x:c r="D24" s="72" t="str"/>
      <x:c r="E24" s="72" t="str"/>
      <x:c r="F24" s="72" t="str"/>
      <x:c r="G24" t="str">
        <x:v>Not Tested</x:v>
      </x:c>
      <x:c r="H24" s="72" t="str"/>
      <x:c r="I24" s="72" t="str"/>
    </x:row>
    <x:row r="25">
      <x:c r="A25" t="str">
        <x:v>SQL-021</x:v>
      </x:c>
      <x:c r="B25" s="72" t="str"/>
      <x:c r="C25" s="72" t="str"/>
      <x:c r="D25" s="72" t="str"/>
      <x:c r="E25" s="72" t="str"/>
      <x:c r="F25" s="72" t="str"/>
      <x:c r="G25" t="str">
        <x:v>Not Tested</x:v>
      </x:c>
      <x:c r="H25" s="72" t="str"/>
      <x:c r="I25" s="72" t="str"/>
    </x:row>
    <x:row r="26">
      <x:c r="A26" t="str">
        <x:v>SQL-022</x:v>
      </x:c>
      <x:c r="B26" s="72" t="str"/>
      <x:c r="C26" s="72" t="str"/>
      <x:c r="D26" s="72" t="str"/>
      <x:c r="E26" s="72" t="str"/>
      <x:c r="F26" s="72" t="str"/>
      <x:c r="G26" t="str">
        <x:v>Not Tested</x:v>
      </x:c>
      <x:c r="H26" s="72" t="str"/>
      <x:c r="I26" s="72" t="str"/>
    </x:row>
    <x:row r="27">
      <x:c r="A27" t="str">
        <x:v>SQL-023</x:v>
      </x:c>
      <x:c r="B27" s="72" t="str"/>
      <x:c r="C27" s="72" t="str"/>
      <x:c r="D27" s="72" t="str"/>
      <x:c r="E27" s="72" t="str"/>
      <x:c r="F27" s="72" t="str"/>
      <x:c r="G27" t="str">
        <x:v>Not Tested</x:v>
      </x:c>
      <x:c r="H27" s="72" t="str"/>
      <x:c r="I27" s="72" t="str"/>
    </x:row>
    <x:row r="28">
      <x:c r="A28" t="str">
        <x:v>SQL-024</x:v>
      </x:c>
      <x:c r="B28" s="72" t="str"/>
      <x:c r="C28" s="72" t="str"/>
      <x:c r="D28" s="72" t="str"/>
      <x:c r="E28" s="72" t="str"/>
      <x:c r="F28" s="72" t="str"/>
      <x:c r="G28" t="str">
        <x:v>Not Tested</x:v>
      </x:c>
      <x:c r="H28" s="72" t="str"/>
      <x:c r="I28" s="72" t="str"/>
    </x:row>
    <x:row r="29">
      <x:c r="A29" t="str">
        <x:v>SQL-025</x:v>
      </x:c>
      <x:c r="B29" s="72" t="str"/>
      <x:c r="C29" s="72" t="str"/>
      <x:c r="D29" s="72" t="str"/>
      <x:c r="E29" s="72" t="str"/>
      <x:c r="F29" s="72" t="str"/>
      <x:c r="G29" t="str">
        <x:v>Not Tested</x:v>
      </x:c>
      <x:c r="H29" s="72" t="str"/>
      <x:c r="I29" s="72" t="str"/>
    </x:row>
    <x:row r="30">
      <x:c r="A30" t="str">
        <x:v>SQL-026</x:v>
      </x:c>
      <x:c r="B30" s="72" t="str"/>
      <x:c r="C30" s="72" t="str"/>
      <x:c r="D30" s="72" t="str"/>
      <x:c r="E30" s="72" t="str"/>
      <x:c r="F30" s="72" t="str"/>
      <x:c r="G30" t="str">
        <x:v>Not Tested</x:v>
      </x:c>
      <x:c r="H30" s="72" t="str"/>
      <x:c r="I30" s="72" t="str"/>
    </x:row>
    <x:row r="31">
      <x:c r="A31" t="str">
        <x:v>SQL-027</x:v>
      </x:c>
      <x:c r="B31" s="72" t="str"/>
      <x:c r="C31" s="72" t="str"/>
      <x:c r="D31" s="72" t="str"/>
      <x:c r="E31" s="72" t="str"/>
      <x:c r="F31" s="72" t="str"/>
      <x:c r="G31" t="str">
        <x:v>Not Tested</x:v>
      </x:c>
      <x:c r="H31" s="72" t="str"/>
      <x:c r="I31" s="72" t="str"/>
    </x:row>
    <x:row r="32">
      <x:c r="A32" t="str">
        <x:v>SQL-028</x:v>
      </x:c>
      <x:c r="B32" s="72" t="str"/>
      <x:c r="C32" s="72" t="str"/>
      <x:c r="D32" s="72" t="str"/>
      <x:c r="E32" s="72" t="str"/>
      <x:c r="F32" s="72" t="str"/>
      <x:c r="G32" t="str">
        <x:v>Not Tested</x:v>
      </x:c>
      <x:c r="H32" s="72" t="str"/>
      <x:c r="I32" s="72" t="str"/>
    </x:row>
    <x:row r="33">
      <x:c r="A33" t="str">
        <x:v>SQL-029</x:v>
      </x:c>
      <x:c r="B33" s="72" t="str"/>
      <x:c r="C33" s="72" t="str"/>
      <x:c r="D33" s="72" t="str"/>
      <x:c r="E33" s="72" t="str"/>
      <x:c r="F33" s="72" t="str"/>
      <x:c r="G33" t="str">
        <x:v>Not Tested</x:v>
      </x:c>
      <x:c r="H33" s="72" t="str"/>
      <x:c r="I33" s="72" t="str"/>
    </x:row>
    <x:row r="34">
      <x:c r="A34" t="str">
        <x:v>SQL-030</x:v>
      </x:c>
      <x:c r="B34" s="72" t="str"/>
      <x:c r="C34" s="72" t="str"/>
      <x:c r="D34" s="72" t="str"/>
      <x:c r="E34" s="72" t="str"/>
      <x:c r="F34" s="72" t="str"/>
      <x:c r="G34" t="str">
        <x:v>Not Tested</x:v>
      </x:c>
      <x:c r="H34" s="72" t="str"/>
      <x:c r="I34" s="72" t="str"/>
    </x:row>
  </x:sheetData>
  <x:mergeCells>
    <x:mergeCell ref="A1:I2"/>
  </x:mergeCells>
  <x:conditionalFormatting sqref="G5:G34">
    <x:cfRule type="expression" dxfId="6" priority="1">
      <x:formula>G5="Validated"</x:formula>
    </x:cfRule>
    <x:cfRule type="expression" dxfId="7" priority="2">
      <x:formula>G5="Failed"</x:formula>
    </x:cfRule>
  </x:conditionalFormatting>
  <x:dataValidations count="1">
    <x:dataValidation type="list" sqref="G5:G34">
      <x:formula1>"Not Tested,Failed,Partially Valid,Validated"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23f09669e342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30" hidden="0" customWidth="1"/>
    <x:col min="5" max="5" width="18" hidden="0" customWidth="1"/>
    <x:col min="6" max="6" width="18" hidden="0" customWidth="1"/>
    <x:col min="7" max="7" width="10" hidden="0" customWidth="1"/>
    <x:col min="8" max="8" width="34" hidden="0" customWidth="1"/>
  </x:cols>
  <x:sheetData>
    <x:row r="1" ht="30" customHeight="1">
      <x:c r="A1" s="5" t="str">
        <x:v>Power BI Model and Dashboard Checklist</x:v>
      </x:c>
    </x:row>
    <x:row r="4">
      <x:c r="A4" s="51" t="str">
        <x:v>Check ID</x:v>
      </x:c>
      <x:c r="B4" s="52" t="str">
        <x:v>Area</x:v>
      </x:c>
      <x:c r="C4" s="52" t="str">
        <x:v>Requirement</x:v>
      </x:c>
      <x:c r="D4" s="52" t="str">
        <x:v>Evidence</x:v>
      </x:c>
      <x:c r="E4" s="52" t="str">
        <x:v>Status</x:v>
      </x:c>
      <x:c r="F4" s="52" t="str">
        <x:v>Reviewer</x:v>
      </x:c>
      <x:c r="G4" s="52" t="str">
        <x:v>Score</x:v>
      </x:c>
      <x:c r="H4" s="53" t="str">
        <x:v>Comments</x:v>
      </x:c>
    </x:row>
    <x:row r="5">
      <x:c r="A5" t="str">
        <x:v>PBI-001</x:v>
      </x:c>
      <x:c r="B5" t="str">
        <x:v>Power Query</x:v>
      </x:c>
      <x:c r="C5" s="72" t="str">
        <x:v>All required tables imported and correctly typed</x:v>
      </x:c>
      <x:c r="D5" s="72" t="str"/>
      <x:c r="E5" t="str">
        <x:v>Not Started</x:v>
      </x:c>
      <x:c r="F5" t="str"/>
      <x:c r="G5" t="n">
        <x:v>0</x:v>
      </x:c>
      <x:c r="H5" s="72" t="str"/>
    </x:row>
    <x:row r="6">
      <x:c r="A6" t="str">
        <x:v>PBI-002</x:v>
      </x:c>
      <x:c r="B6" t="str">
        <x:v>Power Query</x:v>
      </x:c>
      <x:c r="C6" s="72" t="str">
        <x:v>Text fields trimmed and cleaned</x:v>
      </x:c>
      <x:c r="D6" s="72" t="str"/>
      <x:c r="E6" t="str">
        <x:v>Not Started</x:v>
      </x:c>
      <x:c r="F6" t="str"/>
      <x:c r="G6" t="n">
        <x:v>0</x:v>
      </x:c>
      <x:c r="H6" s="72" t="str"/>
    </x:row>
    <x:row r="7">
      <x:c r="A7" t="str">
        <x:v>PBI-003</x:v>
      </x:c>
      <x:c r="B7" t="str">
        <x:v>Model</x:v>
      </x:c>
      <x:c r="C7" s="72" t="str">
        <x:v>Star-schema relationships correctly configured</x:v>
      </x:c>
      <x:c r="D7" s="72" t="str"/>
      <x:c r="E7" t="str">
        <x:v>Not Started</x:v>
      </x:c>
      <x:c r="F7" t="str"/>
      <x:c r="G7" t="n">
        <x:v>0</x:v>
      </x:c>
      <x:c r="H7" s="72" t="str"/>
    </x:row>
    <x:row r="8">
      <x:c r="A8" t="str">
        <x:v>PBI-004</x:v>
      </x:c>
      <x:c r="B8" t="str">
        <x:v>Model</x:v>
      </x:c>
      <x:c r="C8" s="72" t="str">
        <x:v>Date table marked and connected</x:v>
      </x:c>
      <x:c r="D8" s="72" t="str"/>
      <x:c r="E8" t="str">
        <x:v>Not Started</x:v>
      </x:c>
      <x:c r="F8" t="str"/>
      <x:c r="G8" t="n">
        <x:v>0</x:v>
      </x:c>
      <x:c r="H8" s="72" t="str"/>
    </x:row>
    <x:row r="9">
      <x:c r="A9" t="str">
        <x:v>PBI-005</x:v>
      </x:c>
      <x:c r="B9" t="str">
        <x:v>DAX</x:v>
      </x:c>
      <x:c r="C9" s="72" t="str">
        <x:v>Minimum required measures created and validated</x:v>
      </x:c>
      <x:c r="D9" s="72" t="str"/>
      <x:c r="E9" t="str">
        <x:v>Not Started</x:v>
      </x:c>
      <x:c r="F9" t="str"/>
      <x:c r="G9" t="n">
        <x:v>0</x:v>
      </x:c>
      <x:c r="H9" s="72" t="str"/>
    </x:row>
    <x:row r="10">
      <x:c r="A10" t="str">
        <x:v>PBI-006</x:v>
      </x:c>
      <x:c r="B10" t="str">
        <x:v>Dashboard</x:v>
      </x:c>
      <x:c r="C10" s="72" t="str">
        <x:v>Executive Overview page completed</x:v>
      </x:c>
      <x:c r="D10" s="72" t="str"/>
      <x:c r="E10" t="str">
        <x:v>Not Started</x:v>
      </x:c>
      <x:c r="F10" t="str"/>
      <x:c r="G10" t="n">
        <x:v>0</x:v>
      </x:c>
      <x:c r="H10" s="72" t="str"/>
    </x:row>
    <x:row r="11">
      <x:c r="A11" t="str">
        <x:v>PBI-007</x:v>
      </x:c>
      <x:c r="B11" t="str">
        <x:v>Dashboard</x:v>
      </x:c>
      <x:c r="C11" s="72" t="str">
        <x:v>Sales and Customers page completed</x:v>
      </x:c>
      <x:c r="D11" s="72" t="str"/>
      <x:c r="E11" t="str">
        <x:v>Not Started</x:v>
      </x:c>
      <x:c r="F11" t="str"/>
      <x:c r="G11" t="n">
        <x:v>0</x:v>
      </x:c>
      <x:c r="H11" s="72" t="str"/>
    </x:row>
    <x:row r="12">
      <x:c r="A12" t="str">
        <x:v>PBI-008</x:v>
      </x:c>
      <x:c r="B12" t="str">
        <x:v>Dashboard</x:v>
      </x:c>
      <x:c r="C12" s="72" t="str">
        <x:v>Inventory and Finance page completed</x:v>
      </x:c>
      <x:c r="D12" s="72" t="str"/>
      <x:c r="E12" t="str">
        <x:v>Not Started</x:v>
      </x:c>
      <x:c r="F12" t="str"/>
      <x:c r="G12" t="n">
        <x:v>0</x:v>
      </x:c>
      <x:c r="H12" s="72" t="str"/>
    </x:row>
    <x:row r="13">
      <x:c r="A13" t="str">
        <x:v>PBI-009</x:v>
      </x:c>
      <x:c r="B13" t="str">
        <x:v>Design</x:v>
      </x:c>
      <x:c r="C13" s="72" t="str">
        <x:v>DABA branding and consistent formatting applied</x:v>
      </x:c>
      <x:c r="D13" s="72" t="str"/>
      <x:c r="E13" t="str">
        <x:v>Not Started</x:v>
      </x:c>
      <x:c r="F13" t="str"/>
      <x:c r="G13" t="n">
        <x:v>0</x:v>
      </x:c>
      <x:c r="H13" s="72" t="str"/>
    </x:row>
    <x:row r="14">
      <x:c r="A14" t="str">
        <x:v>PBI-010</x:v>
      </x:c>
      <x:c r="B14" t="str">
        <x:v>Interaction</x:v>
      </x:c>
      <x:c r="C14" s="72" t="str">
        <x:v>Slicers, drill-through, and visual interactions tested</x:v>
      </x:c>
      <x:c r="D14" s="72" t="str"/>
      <x:c r="E14" t="str">
        <x:v>Not Started</x:v>
      </x:c>
      <x:c r="F14" t="str"/>
      <x:c r="G14" t="n">
        <x:v>0</x:v>
      </x:c>
      <x:c r="H14" s="72" t="str"/>
    </x:row>
    <x:row r="15">
      <x:c r="C15" s="72"/>
      <x:c r="D15" s="72"/>
      <x:c r="H15" s="72"/>
    </x:row>
    <x:row r="16">
      <x:c r="C16" s="72"/>
      <x:c r="D16" s="72"/>
      <x:c r="H16" s="72"/>
    </x:row>
    <x:row r="17">
      <x:c r="C17" s="72"/>
      <x:c r="D17" s="72"/>
      <x:c r="H17" s="72"/>
    </x:row>
    <x:row r="18">
      <x:c r="C18" s="72"/>
      <x:c r="D18" s="72"/>
      <x:c r="H18" s="72"/>
    </x:row>
    <x:row r="19">
      <x:c r="C19" s="72"/>
      <x:c r="D19" s="72"/>
      <x:c r="H19" s="72"/>
    </x:row>
    <x:row r="20">
      <x:c r="C20" s="72"/>
      <x:c r="D20" s="72"/>
      <x:c r="H20" s="72"/>
    </x:row>
    <x:row r="21">
      <x:c r="C21" s="72"/>
      <x:c r="D21" s="72"/>
      <x:c r="H21" s="72"/>
    </x:row>
    <x:row r="22">
      <x:c r="C22" s="72"/>
      <x:c r="D22" s="72"/>
      <x:c r="H22" s="72"/>
    </x:row>
    <x:row r="23">
      <x:c r="C23" s="72"/>
      <x:c r="D23" s="72"/>
      <x:c r="H23" s="72"/>
    </x:row>
    <x:row r="24">
      <x:c r="C24" s="72"/>
      <x:c r="D24" s="72"/>
      <x:c r="H24" s="72"/>
    </x:row>
    <x:row r="25">
      <x:c r="C25" s="72"/>
      <x:c r="D25" s="72"/>
      <x:c r="H25" s="72"/>
    </x:row>
    <x:row r="26">
      <x:c r="C26" s="72"/>
      <x:c r="D26" s="72"/>
      <x:c r="H26" s="72"/>
    </x:row>
    <x:row r="27">
      <x:c r="C27" s="72"/>
      <x:c r="D27" s="72"/>
      <x:c r="H27" s="72"/>
    </x:row>
    <x:row r="28">
      <x:c r="C28" s="72"/>
      <x:c r="D28" s="72"/>
      <x:c r="H28" s="72"/>
    </x:row>
    <x:row r="29">
      <x:c r="C29" s="72"/>
      <x:c r="D29" s="72"/>
      <x:c r="H29" s="72"/>
    </x:row>
    <x:row r="30">
      <x:c r="C30" s="72"/>
      <x:c r="D30" s="72"/>
      <x:c r="H30" s="72"/>
    </x:row>
    <x:row r="31">
      <x:c r="C31" s="72"/>
      <x:c r="D31" s="72"/>
      <x:c r="H31" s="72"/>
    </x:row>
    <x:row r="32">
      <x:c r="C32" s="72"/>
      <x:c r="D32" s="72"/>
      <x:c r="H32" s="72"/>
    </x:row>
    <x:row r="33">
      <x:c r="C33" s="72"/>
      <x:c r="D33" s="72"/>
      <x:c r="H33" s="72"/>
    </x:row>
    <x:row r="34">
      <x:c r="C34" s="72"/>
      <x:c r="D34" s="72"/>
      <x:c r="H34" s="72"/>
    </x:row>
    <x:row r="35">
      <x:c r="C35" s="72"/>
      <x:c r="D35" s="72"/>
      <x:c r="H35" s="72"/>
    </x:row>
    <x:row r="36">
      <x:c r="C36" s="72"/>
      <x:c r="D36" s="72"/>
      <x:c r="H36" s="72"/>
    </x:row>
    <x:row r="37">
      <x:c r="C37" s="72"/>
      <x:c r="D37" s="72"/>
      <x:c r="H37" s="72"/>
    </x:row>
    <x:row r="38">
      <x:c r="C38" s="72"/>
      <x:c r="D38" s="72"/>
      <x:c r="H38" s="72"/>
    </x:row>
    <x:row r="39">
      <x:c r="C39" s="72"/>
      <x:c r="D39" s="72"/>
      <x:c r="H39" s="72"/>
    </x:row>
    <x:row r="40">
      <x:c r="C40" s="72"/>
      <x:c r="D40" s="72"/>
      <x:c r="H40" s="72"/>
    </x:row>
    <x:row r="41">
      <x:c r="C41" s="72"/>
      <x:c r="D41" s="72"/>
      <x:c r="H41" s="72"/>
    </x:row>
    <x:row r="42">
      <x:c r="C42" s="72"/>
      <x:c r="D42" s="72"/>
      <x:c r="H42" s="72"/>
    </x:row>
    <x:row r="43">
      <x:c r="C43" s="72"/>
      <x:c r="D43" s="72"/>
      <x:c r="H43" s="72"/>
    </x:row>
    <x:row r="44">
      <x:c r="C44" s="72"/>
      <x:c r="D44" s="72"/>
      <x:c r="H44" s="72"/>
    </x:row>
    <x:row r="45">
      <x:c r="C45" s="72"/>
      <x:c r="D45" s="72"/>
      <x:c r="H45" s="72"/>
    </x:row>
    <x:row r="46">
      <x:c r="C46" s="72"/>
      <x:c r="D46" s="72"/>
      <x:c r="H46" s="72"/>
    </x:row>
    <x:row r="47">
      <x:c r="C47" s="72"/>
      <x:c r="D47" s="72"/>
      <x:c r="H47" s="72"/>
    </x:row>
    <x:row r="48">
      <x:c r="C48" s="72"/>
      <x:c r="D48" s="72"/>
      <x:c r="H48" s="72"/>
    </x:row>
    <x:row r="49">
      <x:c r="C49" s="72"/>
      <x:c r="D49" s="72"/>
      <x:c r="H49" s="72"/>
    </x:row>
    <x:row r="50">
      <x:c r="C50" s="72"/>
      <x:c r="D50" s="72"/>
      <x:c r="H50" s="72"/>
    </x:row>
  </x:sheetData>
  <x:mergeCells>
    <x:mergeCell ref="A1:H2"/>
  </x:mergeCells>
  <x:conditionalFormatting sqref="E5:E50">
    <x:cfRule type="expression" dxfId="8" priority="1">
      <x:formula>E5="Validated"</x:formula>
    </x:cfRule>
    <x:cfRule type="expression" dxfId="9" priority="2">
      <x:formula>E5="Needs Correction"</x:formula>
    </x:cfRule>
  </x:conditionalFormatting>
  <x:dataValidations count="2">
    <x:dataValidation type="list" sqref="E5:E50">
      <x:formula1>"Not Started,In Progress,Needs Correction,Validated"</x:formula1>
    </x:dataValidation>
    <x:dataValidation operator="between" sqref="G5:G50">
      <x:formula1>0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6ed195290d246e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6" hidden="0" customWidth="1"/>
    <x:col min="4" max="4" width="24" hidden="0" customWidth="1"/>
    <x:col min="5" max="5" width="34" hidden="0" customWidth="1"/>
    <x:col min="6" max="6" width="28" hidden="0" customWidth="1"/>
    <x:col min="7" max="7" width="30" hidden="0" customWidth="1"/>
    <x:col min="8" max="8" width="18" hidden="0" customWidth="1"/>
    <x:col min="9" max="9" width="34" hidden="0" customWidth="1"/>
    <x:col min="10" max="10" width="12" hidden="0" customWidth="1"/>
    <x:col min="11" max="11" width="12" hidden="0" customWidth="1"/>
  </x:cols>
  <x:sheetData>
    <x:row r="1" ht="30" customHeight="1">
      <x:c r="A1" s="5" t="str">
        <x:v>AI Prompt, Output, and Validation Evidence</x:v>
      </x:c>
    </x:row>
    <x:row r="4">
      <x:c r="A4" s="51" t="str">
        <x:v>Evidence ID</x:v>
      </x:c>
      <x:c r="B4" s="52" t="str">
        <x:v>Business Question</x:v>
      </x:c>
      <x:c r="C4" s="52" t="str">
        <x:v>Prompt Purpose</x:v>
      </x:c>
      <x:c r="D4" s="52" t="str">
        <x:v>Prompt Reference</x:v>
      </x:c>
      <x:c r="E4" s="52" t="str">
        <x:v>AI Output Summary</x:v>
      </x:c>
      <x:c r="F4" s="52" t="str">
        <x:v>Source Used</x:v>
      </x:c>
      <x:c r="G4" s="52" t="str">
        <x:v>Validation Method</x:v>
      </x:c>
      <x:c r="H4" s="52" t="str">
        <x:v>Validation Result</x:v>
      </x:c>
      <x:c r="I4" s="52" t="str">
        <x:v>Correction Made</x:v>
      </x:c>
      <x:c r="J4" s="52" t="str">
        <x:v>Risk Level</x:v>
      </x:c>
      <x:c r="K4" s="53" t="str">
        <x:v>Approved</x:v>
      </x:c>
    </x:row>
    <x:row r="5">
      <x:c r="A5" t="str">
        <x:v>AI-001</x:v>
      </x:c>
      <x:c r="B5" s="72" t="str"/>
      <x:c r="C5" s="72" t="str"/>
      <x:c r="D5" s="72" t="str"/>
      <x:c r="E5" s="72" t="str"/>
      <x:c r="F5" s="72" t="str"/>
      <x:c r="G5" s="72" t="str"/>
      <x:c r="H5" s="72" t="str">
        <x:v>Not Reviewed</x:v>
      </x:c>
      <x:c r="I5" s="72" t="str"/>
      <x:c r="J5" t="str">
        <x:v>Medium</x:v>
      </x:c>
      <x:c r="K5" t="str">
        <x:v>No</x:v>
      </x:c>
    </x:row>
    <x:row r="6">
      <x:c r="A6" t="str">
        <x:v>AI-002</x:v>
      </x:c>
      <x:c r="B6" s="72" t="str"/>
      <x:c r="C6" s="72" t="str"/>
      <x:c r="D6" s="72" t="str"/>
      <x:c r="E6" s="72" t="str"/>
      <x:c r="F6" s="72" t="str"/>
      <x:c r="G6" s="72" t="str"/>
      <x:c r="H6" s="72" t="str">
        <x:v>Not Reviewed</x:v>
      </x:c>
      <x:c r="I6" s="72" t="str"/>
      <x:c r="J6" t="str">
        <x:v>Medium</x:v>
      </x:c>
      <x:c r="K6" t="str">
        <x:v>No</x:v>
      </x:c>
    </x:row>
    <x:row r="7">
      <x:c r="A7" t="str">
        <x:v>AI-003</x:v>
      </x:c>
      <x:c r="B7" s="72" t="str"/>
      <x:c r="C7" s="72" t="str"/>
      <x:c r="D7" s="72" t="str"/>
      <x:c r="E7" s="72" t="str"/>
      <x:c r="F7" s="72" t="str"/>
      <x:c r="G7" s="72" t="str"/>
      <x:c r="H7" s="72" t="str">
        <x:v>Not Reviewed</x:v>
      </x:c>
      <x:c r="I7" s="72" t="str"/>
      <x:c r="J7" t="str">
        <x:v>Medium</x:v>
      </x:c>
      <x:c r="K7" t="str">
        <x:v>No</x:v>
      </x:c>
    </x:row>
    <x:row r="8">
      <x:c r="A8" t="str">
        <x:v>AI-004</x:v>
      </x:c>
      <x:c r="B8" s="72" t="str"/>
      <x:c r="C8" s="72" t="str"/>
      <x:c r="D8" s="72" t="str"/>
      <x:c r="E8" s="72" t="str"/>
      <x:c r="F8" s="72" t="str"/>
      <x:c r="G8" s="72" t="str"/>
      <x:c r="H8" s="72" t="str">
        <x:v>Not Reviewed</x:v>
      </x:c>
      <x:c r="I8" s="72" t="str"/>
      <x:c r="J8" t="str">
        <x:v>Medium</x:v>
      </x:c>
      <x:c r="K8" t="str">
        <x:v>No</x:v>
      </x:c>
    </x:row>
    <x:row r="9">
      <x:c r="A9" t="str">
        <x:v>AI-005</x:v>
      </x:c>
      <x:c r="B9" s="72" t="str"/>
      <x:c r="C9" s="72" t="str"/>
      <x:c r="D9" s="72" t="str"/>
      <x:c r="E9" s="72" t="str"/>
      <x:c r="F9" s="72" t="str"/>
      <x:c r="G9" s="72" t="str"/>
      <x:c r="H9" s="72" t="str">
        <x:v>Not Reviewed</x:v>
      </x:c>
      <x:c r="I9" s="72" t="str"/>
      <x:c r="J9" t="str">
        <x:v>Medium</x:v>
      </x:c>
      <x:c r="K9" t="str">
        <x:v>No</x:v>
      </x:c>
    </x:row>
    <x:row r="10">
      <x:c r="A10" t="str">
        <x:v>AI-006</x:v>
      </x:c>
      <x:c r="B10" s="72" t="str"/>
      <x:c r="C10" s="72" t="str"/>
      <x:c r="D10" s="72" t="str"/>
      <x:c r="E10" s="72" t="str"/>
      <x:c r="F10" s="72" t="str"/>
      <x:c r="G10" s="72" t="str"/>
      <x:c r="H10" s="72" t="str">
        <x:v>Not Reviewed</x:v>
      </x:c>
      <x:c r="I10" s="72" t="str"/>
      <x:c r="J10" t="str">
        <x:v>Medium</x:v>
      </x:c>
      <x:c r="K10" t="str">
        <x:v>No</x:v>
      </x:c>
    </x:row>
    <x:row r="11">
      <x:c r="A11" t="str">
        <x:v>AI-007</x:v>
      </x:c>
      <x:c r="B11" s="72" t="str"/>
      <x:c r="C11" s="72" t="str"/>
      <x:c r="D11" s="72" t="str"/>
      <x:c r="E11" s="72" t="str"/>
      <x:c r="F11" s="72" t="str"/>
      <x:c r="G11" s="72" t="str"/>
      <x:c r="H11" s="72" t="str">
        <x:v>Not Reviewed</x:v>
      </x:c>
      <x:c r="I11" s="72" t="str"/>
      <x:c r="J11" t="str">
        <x:v>Medium</x:v>
      </x:c>
      <x:c r="K11" t="str">
        <x:v>No</x:v>
      </x:c>
    </x:row>
    <x:row r="12">
      <x:c r="A12" t="str">
        <x:v>AI-008</x:v>
      </x:c>
      <x:c r="B12" s="72" t="str"/>
      <x:c r="C12" s="72" t="str"/>
      <x:c r="D12" s="72" t="str"/>
      <x:c r="E12" s="72" t="str"/>
      <x:c r="F12" s="72" t="str"/>
      <x:c r="G12" s="72" t="str"/>
      <x:c r="H12" s="72" t="str">
        <x:v>Not Reviewed</x:v>
      </x:c>
      <x:c r="I12" s="72" t="str"/>
      <x:c r="J12" t="str">
        <x:v>Medium</x:v>
      </x:c>
      <x:c r="K12" t="str">
        <x:v>No</x:v>
      </x:c>
    </x:row>
    <x:row r="13">
      <x:c r="A13" t="str">
        <x:v>AI-009</x:v>
      </x:c>
      <x:c r="B13" s="72" t="str"/>
      <x:c r="C13" s="72" t="str"/>
      <x:c r="D13" s="72" t="str"/>
      <x:c r="E13" s="72" t="str"/>
      <x:c r="F13" s="72" t="str"/>
      <x:c r="G13" s="72" t="str"/>
      <x:c r="H13" s="72" t="str">
        <x:v>Not Reviewed</x:v>
      </x:c>
      <x:c r="I13" s="72" t="str"/>
      <x:c r="J13" t="str">
        <x:v>Medium</x:v>
      </x:c>
      <x:c r="K13" t="str">
        <x:v>No</x:v>
      </x:c>
    </x:row>
    <x:row r="14">
      <x:c r="A14" t="str">
        <x:v>AI-010</x:v>
      </x:c>
      <x:c r="B14" s="72" t="str"/>
      <x:c r="C14" s="72" t="str"/>
      <x:c r="D14" s="72" t="str"/>
      <x:c r="E14" s="72" t="str"/>
      <x:c r="F14" s="72" t="str"/>
      <x:c r="G14" s="72" t="str"/>
      <x:c r="H14" s="72" t="str">
        <x:v>Not Reviewed</x:v>
      </x:c>
      <x:c r="I14" s="72" t="str"/>
      <x:c r="J14" t="str">
        <x:v>Medium</x:v>
      </x:c>
      <x:c r="K14" t="str">
        <x:v>No</x:v>
      </x:c>
    </x:row>
    <x:row r="15">
      <x:c r="A15" t="str">
        <x:v>AI-011</x:v>
      </x:c>
      <x:c r="B15" s="72" t="str"/>
      <x:c r="C15" s="72" t="str"/>
      <x:c r="D15" s="72" t="str"/>
      <x:c r="E15" s="72" t="str"/>
      <x:c r="F15" s="72" t="str"/>
      <x:c r="G15" s="72" t="str"/>
      <x:c r="H15" s="72" t="str">
        <x:v>Not Reviewed</x:v>
      </x:c>
      <x:c r="I15" s="72" t="str"/>
      <x:c r="J15" t="str">
        <x:v>Medium</x:v>
      </x:c>
      <x:c r="K15" t="str">
        <x:v>No</x:v>
      </x:c>
    </x:row>
    <x:row r="16">
      <x:c r="A16" t="str">
        <x:v>AI-012</x:v>
      </x:c>
      <x:c r="B16" s="72" t="str"/>
      <x:c r="C16" s="72" t="str"/>
      <x:c r="D16" s="72" t="str"/>
      <x:c r="E16" s="72" t="str"/>
      <x:c r="F16" s="72" t="str"/>
      <x:c r="G16" s="72" t="str"/>
      <x:c r="H16" s="72" t="str">
        <x:v>Not Reviewed</x:v>
      </x:c>
      <x:c r="I16" s="72" t="str"/>
      <x:c r="J16" t="str">
        <x:v>Medium</x:v>
      </x:c>
      <x:c r="K16" t="str">
        <x:v>No</x:v>
      </x:c>
    </x:row>
    <x:row r="17">
      <x:c r="A17" t="str">
        <x:v>AI-013</x:v>
      </x:c>
      <x:c r="B17" s="72" t="str"/>
      <x:c r="C17" s="72" t="str"/>
      <x:c r="D17" s="72" t="str"/>
      <x:c r="E17" s="72" t="str"/>
      <x:c r="F17" s="72" t="str"/>
      <x:c r="G17" s="72" t="str"/>
      <x:c r="H17" s="72" t="str">
        <x:v>Not Reviewed</x:v>
      </x:c>
      <x:c r="I17" s="72" t="str"/>
      <x:c r="J17" t="str">
        <x:v>Medium</x:v>
      </x:c>
      <x:c r="K17" t="str">
        <x:v>No</x:v>
      </x:c>
    </x:row>
    <x:row r="18">
      <x:c r="A18" t="str">
        <x:v>AI-014</x:v>
      </x:c>
      <x:c r="B18" s="72" t="str"/>
      <x:c r="C18" s="72" t="str"/>
      <x:c r="D18" s="72" t="str"/>
      <x:c r="E18" s="72" t="str"/>
      <x:c r="F18" s="72" t="str"/>
      <x:c r="G18" s="72" t="str"/>
      <x:c r="H18" s="72" t="str">
        <x:v>Not Reviewed</x:v>
      </x:c>
      <x:c r="I18" s="72" t="str"/>
      <x:c r="J18" t="str">
        <x:v>Medium</x:v>
      </x:c>
      <x:c r="K18" t="str">
        <x:v>No</x:v>
      </x:c>
    </x:row>
    <x:row r="19">
      <x:c r="A19" t="str">
        <x:v>AI-015</x:v>
      </x:c>
      <x:c r="B19" s="72" t="str"/>
      <x:c r="C19" s="72" t="str"/>
      <x:c r="D19" s="72" t="str"/>
      <x:c r="E19" s="72" t="str"/>
      <x:c r="F19" s="72" t="str"/>
      <x:c r="G19" s="72" t="str"/>
      <x:c r="H19" s="72" t="str">
        <x:v>Not Reviewed</x:v>
      </x:c>
      <x:c r="I19" s="72" t="str"/>
      <x:c r="J19" t="str">
        <x:v>Medium</x:v>
      </x:c>
      <x:c r="K19" t="str">
        <x:v>No</x:v>
      </x:c>
    </x:row>
    <x:row r="20">
      <x:c r="A20" t="str">
        <x:v>AI-016</x:v>
      </x:c>
      <x:c r="B20" s="72" t="str"/>
      <x:c r="C20" s="72" t="str"/>
      <x:c r="D20" s="72" t="str"/>
      <x:c r="E20" s="72" t="str"/>
      <x:c r="F20" s="72" t="str"/>
      <x:c r="G20" s="72" t="str"/>
      <x:c r="H20" s="72" t="str">
        <x:v>Not Reviewed</x:v>
      </x:c>
      <x:c r="I20" s="72" t="str"/>
      <x:c r="J20" t="str">
        <x:v>Medium</x:v>
      </x:c>
      <x:c r="K20" t="str">
        <x:v>No</x:v>
      </x:c>
    </x:row>
    <x:row r="21">
      <x:c r="A21" t="str">
        <x:v>AI-017</x:v>
      </x:c>
      <x:c r="B21" s="72" t="str"/>
      <x:c r="C21" s="72" t="str"/>
      <x:c r="D21" s="72" t="str"/>
      <x:c r="E21" s="72" t="str"/>
      <x:c r="F21" s="72" t="str"/>
      <x:c r="G21" s="72" t="str"/>
      <x:c r="H21" s="72" t="str">
        <x:v>Not Reviewed</x:v>
      </x:c>
      <x:c r="I21" s="72" t="str"/>
      <x:c r="J21" t="str">
        <x:v>Medium</x:v>
      </x:c>
      <x:c r="K21" t="str">
        <x:v>No</x:v>
      </x:c>
    </x:row>
    <x:row r="22">
      <x:c r="A22" t="str">
        <x:v>AI-018</x:v>
      </x:c>
      <x:c r="B22" s="72" t="str"/>
      <x:c r="C22" s="72" t="str"/>
      <x:c r="D22" s="72" t="str"/>
      <x:c r="E22" s="72" t="str"/>
      <x:c r="F22" s="72" t="str"/>
      <x:c r="G22" s="72" t="str"/>
      <x:c r="H22" s="72" t="str">
        <x:v>Not Reviewed</x:v>
      </x:c>
      <x:c r="I22" s="72" t="str"/>
      <x:c r="J22" t="str">
        <x:v>Medium</x:v>
      </x:c>
      <x:c r="K22" t="str">
        <x:v>No</x:v>
      </x:c>
    </x:row>
    <x:row r="23">
      <x:c r="A23" t="str">
        <x:v>AI-019</x:v>
      </x:c>
      <x:c r="B23" s="72" t="str"/>
      <x:c r="C23" s="72" t="str"/>
      <x:c r="D23" s="72" t="str"/>
      <x:c r="E23" s="72" t="str"/>
      <x:c r="F23" s="72" t="str"/>
      <x:c r="G23" s="72" t="str"/>
      <x:c r="H23" s="72" t="str">
        <x:v>Not Reviewed</x:v>
      </x:c>
      <x:c r="I23" s="72" t="str"/>
      <x:c r="J23" t="str">
        <x:v>Medium</x:v>
      </x:c>
      <x:c r="K23" t="str">
        <x:v>No</x:v>
      </x:c>
    </x:row>
    <x:row r="24">
      <x:c r="A24" t="str">
        <x:v>AI-020</x:v>
      </x:c>
      <x:c r="B24" s="72" t="str"/>
      <x:c r="C24" s="72" t="str"/>
      <x:c r="D24" s="72" t="str"/>
      <x:c r="E24" s="72" t="str"/>
      <x:c r="F24" s="72" t="str"/>
      <x:c r="G24" s="72" t="str"/>
      <x:c r="H24" s="72" t="str">
        <x:v>Not Reviewed</x:v>
      </x:c>
      <x:c r="I24" s="72" t="str"/>
      <x:c r="J24" t="str">
        <x:v>Medium</x:v>
      </x:c>
      <x:c r="K24" t="str">
        <x:v>No</x:v>
      </x:c>
    </x:row>
    <x:row r="25">
      <x:c r="A25" t="str">
        <x:v>AI-021</x:v>
      </x:c>
      <x:c r="B25" s="72" t="str"/>
      <x:c r="C25" s="72" t="str"/>
      <x:c r="D25" s="72" t="str"/>
      <x:c r="E25" s="72" t="str"/>
      <x:c r="F25" s="72" t="str"/>
      <x:c r="G25" s="72" t="str"/>
      <x:c r="H25" s="72" t="str">
        <x:v>Not Reviewed</x:v>
      </x:c>
      <x:c r="I25" s="72" t="str"/>
      <x:c r="J25" t="str">
        <x:v>Medium</x:v>
      </x:c>
      <x:c r="K25" t="str">
        <x:v>No</x:v>
      </x:c>
    </x:row>
    <x:row r="26">
      <x:c r="A26" t="str">
        <x:v>AI-022</x:v>
      </x:c>
      <x:c r="B26" s="72" t="str"/>
      <x:c r="C26" s="72" t="str"/>
      <x:c r="D26" s="72" t="str"/>
      <x:c r="E26" s="72" t="str"/>
      <x:c r="F26" s="72" t="str"/>
      <x:c r="G26" s="72" t="str"/>
      <x:c r="H26" s="72" t="str">
        <x:v>Not Reviewed</x:v>
      </x:c>
      <x:c r="I26" s="72" t="str"/>
      <x:c r="J26" t="str">
        <x:v>Medium</x:v>
      </x:c>
      <x:c r="K26" t="str">
        <x:v>No</x:v>
      </x:c>
    </x:row>
    <x:row r="27">
      <x:c r="A27" t="str">
        <x:v>AI-023</x:v>
      </x:c>
      <x:c r="B27" s="72" t="str"/>
      <x:c r="C27" s="72" t="str"/>
      <x:c r="D27" s="72" t="str"/>
      <x:c r="E27" s="72" t="str"/>
      <x:c r="F27" s="72" t="str"/>
      <x:c r="G27" s="72" t="str"/>
      <x:c r="H27" s="72" t="str">
        <x:v>Not Reviewed</x:v>
      </x:c>
      <x:c r="I27" s="72" t="str"/>
      <x:c r="J27" t="str">
        <x:v>Medium</x:v>
      </x:c>
      <x:c r="K27" t="str">
        <x:v>No</x:v>
      </x:c>
    </x:row>
    <x:row r="28">
      <x:c r="A28" t="str">
        <x:v>AI-024</x:v>
      </x:c>
      <x:c r="B28" s="72" t="str"/>
      <x:c r="C28" s="72" t="str"/>
      <x:c r="D28" s="72" t="str"/>
      <x:c r="E28" s="72" t="str"/>
      <x:c r="F28" s="72" t="str"/>
      <x:c r="G28" s="72" t="str"/>
      <x:c r="H28" s="72" t="str">
        <x:v>Not Reviewed</x:v>
      </x:c>
      <x:c r="I28" s="72" t="str"/>
      <x:c r="J28" t="str">
        <x:v>Medium</x:v>
      </x:c>
      <x:c r="K28" t="str">
        <x:v>No</x:v>
      </x:c>
    </x:row>
    <x:row r="29">
      <x:c r="A29" t="str">
        <x:v>AI-025</x:v>
      </x:c>
      <x:c r="B29" s="72" t="str"/>
      <x:c r="C29" s="72" t="str"/>
      <x:c r="D29" s="72" t="str"/>
      <x:c r="E29" s="72" t="str"/>
      <x:c r="F29" s="72" t="str"/>
      <x:c r="G29" s="72" t="str"/>
      <x:c r="H29" s="72" t="str">
        <x:v>Not Reviewed</x:v>
      </x:c>
      <x:c r="I29" s="72" t="str"/>
      <x:c r="J29" t="str">
        <x:v>Medium</x:v>
      </x:c>
      <x:c r="K29" t="str">
        <x:v>No</x:v>
      </x:c>
    </x:row>
    <x:row r="30">
      <x:c r="A30" t="str">
        <x:v>AI-026</x:v>
      </x:c>
      <x:c r="B30" s="72" t="str"/>
      <x:c r="C30" s="72" t="str"/>
      <x:c r="D30" s="72" t="str"/>
      <x:c r="E30" s="72" t="str"/>
      <x:c r="F30" s="72" t="str"/>
      <x:c r="G30" s="72" t="str"/>
      <x:c r="H30" s="72" t="str">
        <x:v>Not Reviewed</x:v>
      </x:c>
      <x:c r="I30" s="72" t="str"/>
      <x:c r="J30" t="str">
        <x:v>Medium</x:v>
      </x:c>
      <x:c r="K30" t="str">
        <x:v>No</x:v>
      </x:c>
    </x:row>
    <x:row r="31">
      <x:c r="A31" t="str">
        <x:v>AI-027</x:v>
      </x:c>
      <x:c r="B31" s="72" t="str"/>
      <x:c r="C31" s="72" t="str"/>
      <x:c r="D31" s="72" t="str"/>
      <x:c r="E31" s="72" t="str"/>
      <x:c r="F31" s="72" t="str"/>
      <x:c r="G31" s="72" t="str"/>
      <x:c r="H31" s="72" t="str">
        <x:v>Not Reviewed</x:v>
      </x:c>
      <x:c r="I31" s="72" t="str"/>
      <x:c r="J31" t="str">
        <x:v>Medium</x:v>
      </x:c>
      <x:c r="K31" t="str">
        <x:v>No</x:v>
      </x:c>
    </x:row>
    <x:row r="32">
      <x:c r="A32" t="str">
        <x:v>AI-028</x:v>
      </x:c>
      <x:c r="B32" s="72" t="str"/>
      <x:c r="C32" s="72" t="str"/>
      <x:c r="D32" s="72" t="str"/>
      <x:c r="E32" s="72" t="str"/>
      <x:c r="F32" s="72" t="str"/>
      <x:c r="G32" s="72" t="str"/>
      <x:c r="H32" s="72" t="str">
        <x:v>Not Reviewed</x:v>
      </x:c>
      <x:c r="I32" s="72" t="str"/>
      <x:c r="J32" t="str">
        <x:v>Medium</x:v>
      </x:c>
      <x:c r="K32" t="str">
        <x:v>No</x:v>
      </x:c>
    </x:row>
    <x:row r="33">
      <x:c r="A33" t="str">
        <x:v>AI-029</x:v>
      </x:c>
      <x:c r="B33" s="72" t="str"/>
      <x:c r="C33" s="72" t="str"/>
      <x:c r="D33" s="72" t="str"/>
      <x:c r="E33" s="72" t="str"/>
      <x:c r="F33" s="72" t="str"/>
      <x:c r="G33" s="72" t="str"/>
      <x:c r="H33" s="72" t="str">
        <x:v>Not Reviewed</x:v>
      </x:c>
      <x:c r="I33" s="72" t="str"/>
      <x:c r="J33" t="str">
        <x:v>Medium</x:v>
      </x:c>
      <x:c r="K33" t="str">
        <x:v>No</x:v>
      </x:c>
    </x:row>
    <x:row r="34">
      <x:c r="A34" t="str">
        <x:v>AI-030</x:v>
      </x:c>
      <x:c r="B34" s="72" t="str"/>
      <x:c r="C34" s="72" t="str"/>
      <x:c r="D34" s="72" t="str"/>
      <x:c r="E34" s="72" t="str"/>
      <x:c r="F34" s="72" t="str"/>
      <x:c r="G34" s="72" t="str"/>
      <x:c r="H34" s="72" t="str">
        <x:v>Not Reviewed</x:v>
      </x:c>
      <x:c r="I34" s="72" t="str"/>
      <x:c r="J34" t="str">
        <x:v>Medium</x:v>
      </x:c>
      <x:c r="K34" t="str">
        <x:v>No</x:v>
      </x:c>
    </x:row>
  </x:sheetData>
  <x:mergeCells>
    <x:mergeCell ref="A1:K2"/>
  </x:mergeCells>
  <x:conditionalFormatting sqref="K5:K34">
    <x:cfRule type="expression" dxfId="10" priority="1">
      <x:formula>K5="Yes"</x:formula>
    </x:cfRule>
  </x:conditionalFormatting>
  <x:conditionalFormatting sqref="H5:H34">
    <x:cfRule type="expression" dxfId="11" priority="2">
      <x:formula>OR(H5="Incorrect",H5="Unsupported")</x:formula>
    </x:cfRule>
  </x:conditionalFormatting>
  <x:dataValidations count="3">
    <x:dataValidation type="list" sqref="H5:H34">
      <x:formula1>"Not Reviewed,Accurate,Partially Accurate,Incorrect,Unsupported"</x:formula1>
    </x:dataValidation>
    <x:dataValidation type="list" sqref="J5:J34">
      <x:formula1>"Low,Medium,High,Critical"</x:formula1>
    </x:dataValidation>
    <x:dataValidation type="list" sqref="K5:K34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49d8ee1db34cf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28" hidden="0" customWidth="1"/>
    <x:col min="5" max="5" width="24" hidden="0" customWidth="1"/>
    <x:col min="6" max="6" width="34" hidden="0" customWidth="1"/>
    <x:col min="7" max="7" width="12" hidden="0" customWidth="1"/>
    <x:col min="8" max="8" width="42" hidden="0" customWidth="1"/>
    <x:col min="9" max="9" width="12" hidden="0" customWidth="1"/>
    <x:col min="10" max="10" width="16" hidden="0" customWidth="1"/>
  </x:cols>
  <x:sheetData>
    <x:row r="1" ht="30" customHeight="1">
      <x:c r="A1" s="5" t="str">
        <x:v>Validated Findings and Recommendations</x:v>
      </x:c>
    </x:row>
    <x:row r="4">
      <x:c r="A4" s="51" t="str">
        <x:v>Finding ID</x:v>
      </x:c>
      <x:c r="B4" s="52" t="str">
        <x:v>Business Area</x:v>
      </x:c>
      <x:c r="C4" s="52" t="str">
        <x:v>Finding</x:v>
      </x:c>
      <x:c r="D4" s="52" t="str">
        <x:v>Supporting KPI / Query</x:v>
      </x:c>
      <x:c r="E4" s="52" t="str">
        <x:v>Evidence Reference</x:v>
      </x:c>
      <x:c r="F4" s="52" t="str">
        <x:v>Business Impact</x:v>
      </x:c>
      <x:c r="G4" s="52" t="str">
        <x:v>Confidence</x:v>
      </x:c>
      <x:c r="H4" s="52" t="str">
        <x:v>Recommendation</x:v>
      </x:c>
      <x:c r="I4" s="52" t="str">
        <x:v>Priority</x:v>
      </x:c>
      <x:c r="J4" s="53" t="str">
        <x:v>Approval Status</x:v>
      </x:c>
    </x:row>
    <x:row r="5">
      <x:c r="A5" t="str">
        <x:v>F-001</x:v>
      </x:c>
      <x:c r="B5" t="str"/>
      <x:c r="C5" s="72" t="str"/>
      <x:c r="D5" s="72" t="str"/>
      <x:c r="E5" s="72" t="str"/>
      <x:c r="F5" s="72" t="str"/>
      <x:c r="G5" s="72" t="str">
        <x:v>Medium</x:v>
      </x:c>
      <x:c r="H5" s="72" t="str"/>
      <x:c r="I5" t="str">
        <x:v>Medium</x:v>
      </x:c>
      <x:c r="J5" t="str">
        <x:v>Draft</x:v>
      </x:c>
    </x:row>
    <x:row r="6">
      <x:c r="A6" t="str">
        <x:v>F-002</x:v>
      </x:c>
      <x:c r="B6" t="str"/>
      <x:c r="C6" s="72" t="str"/>
      <x:c r="D6" s="72" t="str"/>
      <x:c r="E6" s="72" t="str"/>
      <x:c r="F6" s="72" t="str"/>
      <x:c r="G6" s="72" t="str">
        <x:v>Medium</x:v>
      </x:c>
      <x:c r="H6" s="72" t="str"/>
      <x:c r="I6" t="str">
        <x:v>Medium</x:v>
      </x:c>
      <x:c r="J6" t="str">
        <x:v>Draft</x:v>
      </x:c>
    </x:row>
    <x:row r="7">
      <x:c r="A7" t="str">
        <x:v>F-003</x:v>
      </x:c>
      <x:c r="B7" t="str"/>
      <x:c r="C7" s="72" t="str"/>
      <x:c r="D7" s="72" t="str"/>
      <x:c r="E7" s="72" t="str"/>
      <x:c r="F7" s="72" t="str"/>
      <x:c r="G7" s="72" t="str">
        <x:v>Medium</x:v>
      </x:c>
      <x:c r="H7" s="72" t="str"/>
      <x:c r="I7" t="str">
        <x:v>Medium</x:v>
      </x:c>
      <x:c r="J7" t="str">
        <x:v>Draft</x:v>
      </x:c>
    </x:row>
    <x:row r="8">
      <x:c r="A8" t="str">
        <x:v>F-004</x:v>
      </x:c>
      <x:c r="B8" t="str"/>
      <x:c r="C8" s="72" t="str"/>
      <x:c r="D8" s="72" t="str"/>
      <x:c r="E8" s="72" t="str"/>
      <x:c r="F8" s="72" t="str"/>
      <x:c r="G8" s="72" t="str">
        <x:v>Medium</x:v>
      </x:c>
      <x:c r="H8" s="72" t="str"/>
      <x:c r="I8" t="str">
        <x:v>Medium</x:v>
      </x:c>
      <x:c r="J8" t="str">
        <x:v>Draft</x:v>
      </x:c>
    </x:row>
    <x:row r="9">
      <x:c r="A9" t="str">
        <x:v>F-005</x:v>
      </x:c>
      <x:c r="B9" t="str"/>
      <x:c r="C9" s="72" t="str"/>
      <x:c r="D9" s="72" t="str"/>
      <x:c r="E9" s="72" t="str"/>
      <x:c r="F9" s="72" t="str"/>
      <x:c r="G9" s="72" t="str">
        <x:v>Medium</x:v>
      </x:c>
      <x:c r="H9" s="72" t="str"/>
      <x:c r="I9" t="str">
        <x:v>Medium</x:v>
      </x:c>
      <x:c r="J9" t="str">
        <x:v>Draft</x:v>
      </x:c>
    </x:row>
    <x:row r="10">
      <x:c r="A10" t="str">
        <x:v>F-006</x:v>
      </x:c>
      <x:c r="B10" t="str"/>
      <x:c r="C10" s="72" t="str"/>
      <x:c r="D10" s="72" t="str"/>
      <x:c r="E10" s="72" t="str"/>
      <x:c r="F10" s="72" t="str"/>
      <x:c r="G10" s="72" t="str">
        <x:v>Medium</x:v>
      </x:c>
      <x:c r="H10" s="72" t="str"/>
      <x:c r="I10" t="str">
        <x:v>Medium</x:v>
      </x:c>
      <x:c r="J10" t="str">
        <x:v>Draft</x:v>
      </x:c>
    </x:row>
    <x:row r="11">
      <x:c r="A11" t="str">
        <x:v>F-007</x:v>
      </x:c>
      <x:c r="B11" t="str"/>
      <x:c r="C11" s="72" t="str"/>
      <x:c r="D11" s="72" t="str"/>
      <x:c r="E11" s="72" t="str"/>
      <x:c r="F11" s="72" t="str"/>
      <x:c r="G11" s="72" t="str">
        <x:v>Medium</x:v>
      </x:c>
      <x:c r="H11" s="72" t="str"/>
      <x:c r="I11" t="str">
        <x:v>Medium</x:v>
      </x:c>
      <x:c r="J11" t="str">
        <x:v>Draft</x:v>
      </x:c>
    </x:row>
    <x:row r="12">
      <x:c r="A12" t="str">
        <x:v>F-008</x:v>
      </x:c>
      <x:c r="B12" t="str"/>
      <x:c r="C12" s="72" t="str"/>
      <x:c r="D12" s="72" t="str"/>
      <x:c r="E12" s="72" t="str"/>
      <x:c r="F12" s="72" t="str"/>
      <x:c r="G12" s="72" t="str">
        <x:v>Medium</x:v>
      </x:c>
      <x:c r="H12" s="72" t="str"/>
      <x:c r="I12" t="str">
        <x:v>Medium</x:v>
      </x:c>
      <x:c r="J12" t="str">
        <x:v>Draft</x:v>
      </x:c>
    </x:row>
    <x:row r="13">
      <x:c r="A13" t="str">
        <x:v>F-009</x:v>
      </x:c>
      <x:c r="B13" t="str"/>
      <x:c r="C13" s="72" t="str"/>
      <x:c r="D13" s="72" t="str"/>
      <x:c r="E13" s="72" t="str"/>
      <x:c r="F13" s="72" t="str"/>
      <x:c r="G13" s="72" t="str">
        <x:v>Medium</x:v>
      </x:c>
      <x:c r="H13" s="72" t="str"/>
      <x:c r="I13" t="str">
        <x:v>Medium</x:v>
      </x:c>
      <x:c r="J13" t="str">
        <x:v>Draft</x:v>
      </x:c>
    </x:row>
    <x:row r="14">
      <x:c r="A14" t="str">
        <x:v>F-010</x:v>
      </x:c>
      <x:c r="B14" t="str"/>
      <x:c r="C14" s="72" t="str"/>
      <x:c r="D14" s="72" t="str"/>
      <x:c r="E14" s="72" t="str"/>
      <x:c r="F14" s="72" t="str"/>
      <x:c r="G14" s="72" t="str">
        <x:v>Medium</x:v>
      </x:c>
      <x:c r="H14" s="72" t="str"/>
      <x:c r="I14" t="str">
        <x:v>Medium</x:v>
      </x:c>
      <x:c r="J14" t="str">
        <x:v>Draft</x:v>
      </x:c>
    </x:row>
    <x:row r="15">
      <x:c r="A15" t="str">
        <x:v>F-011</x:v>
      </x:c>
      <x:c r="B15" t="str"/>
      <x:c r="C15" s="72" t="str"/>
      <x:c r="D15" s="72" t="str"/>
      <x:c r="E15" s="72" t="str"/>
      <x:c r="F15" s="72" t="str"/>
      <x:c r="G15" s="72" t="str">
        <x:v>Medium</x:v>
      </x:c>
      <x:c r="H15" s="72" t="str"/>
      <x:c r="I15" t="str">
        <x:v>Medium</x:v>
      </x:c>
      <x:c r="J15" t="str">
        <x:v>Draft</x:v>
      </x:c>
    </x:row>
    <x:row r="16">
      <x:c r="A16" t="str">
        <x:v>F-012</x:v>
      </x:c>
      <x:c r="B16" t="str"/>
      <x:c r="C16" s="72" t="str"/>
      <x:c r="D16" s="72" t="str"/>
      <x:c r="E16" s="72" t="str"/>
      <x:c r="F16" s="72" t="str"/>
      <x:c r="G16" s="72" t="str">
        <x:v>Medium</x:v>
      </x:c>
      <x:c r="H16" s="72" t="str"/>
      <x:c r="I16" t="str">
        <x:v>Medium</x:v>
      </x:c>
      <x:c r="J16" t="str">
        <x:v>Draft</x:v>
      </x:c>
    </x:row>
    <x:row r="17">
      <x:c r="A17" t="str">
        <x:v>F-013</x:v>
      </x:c>
      <x:c r="B17" t="str"/>
      <x:c r="C17" s="72" t="str"/>
      <x:c r="D17" s="72" t="str"/>
      <x:c r="E17" s="72" t="str"/>
      <x:c r="F17" s="72" t="str"/>
      <x:c r="G17" s="72" t="str">
        <x:v>Medium</x:v>
      </x:c>
      <x:c r="H17" s="72" t="str"/>
      <x:c r="I17" t="str">
        <x:v>Medium</x:v>
      </x:c>
      <x:c r="J17" t="str">
        <x:v>Draft</x:v>
      </x:c>
    </x:row>
    <x:row r="18">
      <x:c r="A18" t="str">
        <x:v>F-014</x:v>
      </x:c>
      <x:c r="B18" t="str"/>
      <x:c r="C18" s="72" t="str"/>
      <x:c r="D18" s="72" t="str"/>
      <x:c r="E18" s="72" t="str"/>
      <x:c r="F18" s="72" t="str"/>
      <x:c r="G18" s="72" t="str">
        <x:v>Medium</x:v>
      </x:c>
      <x:c r="H18" s="72" t="str"/>
      <x:c r="I18" t="str">
        <x:v>Medium</x:v>
      </x:c>
      <x:c r="J18" t="str">
        <x:v>Draft</x:v>
      </x:c>
    </x:row>
    <x:row r="19">
      <x:c r="A19" t="str">
        <x:v>F-015</x:v>
      </x:c>
      <x:c r="B19" t="str"/>
      <x:c r="C19" s="72" t="str"/>
      <x:c r="D19" s="72" t="str"/>
      <x:c r="E19" s="72" t="str"/>
      <x:c r="F19" s="72" t="str"/>
      <x:c r="G19" s="72" t="str">
        <x:v>Medium</x:v>
      </x:c>
      <x:c r="H19" s="72" t="str"/>
      <x:c r="I19" t="str">
        <x:v>Medium</x:v>
      </x:c>
      <x:c r="J19" t="str">
        <x:v>Draft</x:v>
      </x:c>
    </x:row>
    <x:row r="20">
      <x:c r="A20" t="str">
        <x:v>F-016</x:v>
      </x:c>
      <x:c r="B20" t="str"/>
      <x:c r="C20" s="72" t="str"/>
      <x:c r="D20" s="72" t="str"/>
      <x:c r="E20" s="72" t="str"/>
      <x:c r="F20" s="72" t="str"/>
      <x:c r="G20" s="72" t="str">
        <x:v>Medium</x:v>
      </x:c>
      <x:c r="H20" s="72" t="str"/>
      <x:c r="I20" t="str">
        <x:v>Medium</x:v>
      </x:c>
      <x:c r="J20" t="str">
        <x:v>Draft</x:v>
      </x:c>
    </x:row>
    <x:row r="21">
      <x:c r="A21" t="str">
        <x:v>F-017</x:v>
      </x:c>
      <x:c r="B21" t="str"/>
      <x:c r="C21" s="72" t="str"/>
      <x:c r="D21" s="72" t="str"/>
      <x:c r="E21" s="72" t="str"/>
      <x:c r="F21" s="72" t="str"/>
      <x:c r="G21" s="72" t="str">
        <x:v>Medium</x:v>
      </x:c>
      <x:c r="H21" s="72" t="str"/>
      <x:c r="I21" t="str">
        <x:v>Medium</x:v>
      </x:c>
      <x:c r="J21" t="str">
        <x:v>Draft</x:v>
      </x:c>
    </x:row>
    <x:row r="22">
      <x:c r="A22" t="str">
        <x:v>F-018</x:v>
      </x:c>
      <x:c r="B22" t="str"/>
      <x:c r="C22" s="72" t="str"/>
      <x:c r="D22" s="72" t="str"/>
      <x:c r="E22" s="72" t="str"/>
      <x:c r="F22" s="72" t="str"/>
      <x:c r="G22" s="72" t="str">
        <x:v>Medium</x:v>
      </x:c>
      <x:c r="H22" s="72" t="str"/>
      <x:c r="I22" t="str">
        <x:v>Medium</x:v>
      </x:c>
      <x:c r="J22" t="str">
        <x:v>Draft</x:v>
      </x:c>
    </x:row>
    <x:row r="23">
      <x:c r="A23" t="str">
        <x:v>F-019</x:v>
      </x:c>
      <x:c r="B23" t="str"/>
      <x:c r="C23" s="72" t="str"/>
      <x:c r="D23" s="72" t="str"/>
      <x:c r="E23" s="72" t="str"/>
      <x:c r="F23" s="72" t="str"/>
      <x:c r="G23" s="72" t="str">
        <x:v>Medium</x:v>
      </x:c>
      <x:c r="H23" s="72" t="str"/>
      <x:c r="I23" t="str">
        <x:v>Medium</x:v>
      </x:c>
      <x:c r="J23" t="str">
        <x:v>Draft</x:v>
      </x:c>
    </x:row>
    <x:row r="24">
      <x:c r="A24" t="str">
        <x:v>F-020</x:v>
      </x:c>
      <x:c r="B24" t="str"/>
      <x:c r="C24" s="72" t="str"/>
      <x:c r="D24" s="72" t="str"/>
      <x:c r="E24" s="72" t="str"/>
      <x:c r="F24" s="72" t="str"/>
      <x:c r="G24" s="72" t="str">
        <x:v>Medium</x:v>
      </x:c>
      <x:c r="H24" s="72" t="str"/>
      <x:c r="I24" t="str">
        <x:v>Medium</x:v>
      </x:c>
      <x:c r="J24" t="str">
        <x:v>Draft</x:v>
      </x:c>
    </x:row>
  </x:sheetData>
  <x:mergeCells>
    <x:mergeCell ref="A1:J2"/>
  </x:mergeCells>
  <x:conditionalFormatting sqref="J5:J24">
    <x:cfRule type="expression" dxfId="12" priority="1">
      <x:formula>J5="Approved"</x:formula>
    </x:cfRule>
  </x:conditionalFormatting>
  <x:dataValidations count="3">
    <x:dataValidation type="list" sqref="G5:G24">
      <x:formula1>"Low,Medium,High"</x:formula1>
    </x:dataValidation>
    <x:dataValidation type="list" sqref="I5:I24">
      <x:formula1>"Low,Medium,High,Critical"</x:formula1>
    </x:dataValidation>
    <x:dataValidation type="list" sqref="J5:J24">
      <x:formula1>"Draft,Validated,Approved,Rejected"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3725f9e4de4ad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20" hidden="0" customWidth="1"/>
    <x:col min="5" max="5" width="48" hidden="0" customWidth="1"/>
  </x:cols>
  <x:sheetData>
    <x:row r="1" ht="30" customHeight="1">
      <x:c r="A1" s="5" t="str">
        <x:v>Capstone Assessment Scorecard</x:v>
      </x:c>
    </x:row>
    <x:row r="4">
      <x:c r="A4" s="51" t="str">
        <x:v>Assessment Area</x:v>
      </x:c>
      <x:c r="B4" s="52" t="str">
        <x:v>Maximum Marks</x:v>
      </x:c>
      <x:c r="C4" s="52" t="str">
        <x:v>Student Score</x:v>
      </x:c>
      <x:c r="D4" s="52" t="str">
        <x:v>Weighted Status</x:v>
      </x:c>
      <x:c r="E4" s="53" t="str">
        <x:v>Reviewer Comments</x:v>
      </x:c>
    </x:row>
    <x:row r="5">
      <x:c r="A5" t="str">
        <x:v>Business Understanding and Planning</x:v>
      </x:c>
      <x:c r="B5" s="74" t="n">
        <x:v>10</x:v>
      </x:c>
      <x:c r="C5" t="str"/>
      <x:c r="D5" t="str">
        <x:f>IF(C5="","Not Assessed",IF(C5/B5&gt;=0.8,"Excellent",IF(C5/B5&gt;=0.6,"Competent","Needs Improvement")))</x:f>
        <x:v>Not Assessed</x:v>
      </x:c>
      <x:c r="E5" s="72" t="str"/>
    </x:row>
    <x:row r="6">
      <x:c r="A6" t="str">
        <x:v>Data Cleaning and Quality Documentation</x:v>
      </x:c>
      <x:c r="B6" s="74" t="n">
        <x:v>15</x:v>
      </x:c>
      <x:c r="C6" t="str"/>
      <x:c r="D6" t="str">
        <x:f>IF(C6="","Not Assessed",IF(C6/B6&gt;=0.8,"Excellent",IF(C6/B6&gt;=0.6,"Competent","Needs Improvement")))</x:f>
        <x:v>Not Assessed</x:v>
      </x:c>
      <x:c r="E6" s="72" t="str"/>
    </x:row>
    <x:row r="7">
      <x:c r="A7" t="str">
        <x:v>Excel Analysis</x:v>
      </x:c>
      <x:c r="B7" s="74" t="n">
        <x:v>10</x:v>
      </x:c>
      <x:c r="C7" t="str"/>
      <x:c r="D7" t="str">
        <x:f>IF(C7="","Not Assessed",IF(C7/B7&gt;=0.8,"Excellent",IF(C7/B7&gt;=0.6,"Competent","Needs Improvement")))</x:f>
        <x:v>Not Assessed</x:v>
      </x:c>
      <x:c r="E7" s="72" t="str"/>
    </x:row>
    <x:row r="8">
      <x:c r="A8" t="str">
        <x:v>SQL Analysis</x:v>
      </x:c>
      <x:c r="B8" s="74" t="n">
        <x:v>15</x:v>
      </x:c>
      <x:c r="C8" t="str"/>
      <x:c r="D8" t="str">
        <x:f>IF(C8="","Not Assessed",IF(C8/B8&gt;=0.8,"Excellent",IF(C8/B8&gt;=0.6,"Competent","Needs Improvement")))</x:f>
        <x:v>Not Assessed</x:v>
      </x:c>
      <x:c r="E8" s="72" t="str"/>
    </x:row>
    <x:row r="9">
      <x:c r="A9" t="str">
        <x:v>Power BI Model and Dashboard</x:v>
      </x:c>
      <x:c r="B9" s="74" t="n">
        <x:v>20</x:v>
      </x:c>
      <x:c r="C9" t="str"/>
      <x:c r="D9" t="str">
        <x:f>IF(C9="","Not Assessed",IF(C9/B9&gt;=0.8,"Excellent",IF(C9/B9&gt;=0.6,"Competent","Needs Improvement")))</x:f>
        <x:v>Not Assessed</x:v>
      </x:c>
      <x:c r="E9" s="72" t="str"/>
    </x:row>
    <x:row r="10">
      <x:c r="A10" t="str">
        <x:v>AI Governance and Validation</x:v>
      </x:c>
      <x:c r="B10" s="74" t="n">
        <x:v>10</x:v>
      </x:c>
      <x:c r="C10" t="str"/>
      <x:c r="D10" t="str">
        <x:f>IF(C10="","Not Assessed",IF(C10/B10&gt;=0.8,"Excellent",IF(C10/B10&gt;=0.6,"Competent","Needs Improvement")))</x:f>
        <x:v>Not Assessed</x:v>
      </x:c>
      <x:c r="E10" s="72" t="str"/>
    </x:row>
    <x:row r="11">
      <x:c r="A11" t="str">
        <x:v>Findings and Recommendations</x:v>
      </x:c>
      <x:c r="B11" s="74" t="n">
        <x:v>10</x:v>
      </x:c>
      <x:c r="C11" t="str"/>
      <x:c r="D11" t="str">
        <x:f>IF(C11="","Not Assessed",IF(C11/B11&gt;=0.8,"Excellent",IF(C11/B11&gt;=0.6,"Competent","Needs Improvement")))</x:f>
        <x:v>Not Assessed</x:v>
      </x:c>
      <x:c r="E11" s="72" t="str"/>
    </x:row>
    <x:row r="12">
      <x:c r="A12" t="str">
        <x:v>Written Report</x:v>
      </x:c>
      <x:c r="B12" s="74" t="n">
        <x:v>5</x:v>
      </x:c>
      <x:c r="C12" t="str"/>
      <x:c r="D12" t="str">
        <x:f>IF(C12="","Not Assessed",IF(C12/B12&gt;=0.8,"Excellent",IF(C12/B12&gt;=0.6,"Competent","Needs Improvement")))</x:f>
        <x:v>Not Assessed</x:v>
      </x:c>
      <x:c r="E12" s="72" t="str"/>
    </x:row>
    <x:row r="13">
      <x:c r="A13" t="str">
        <x:v>Presentation and Defense</x:v>
      </x:c>
      <x:c r="B13" s="74" t="n">
        <x:v>5</x:v>
      </x:c>
      <x:c r="C13" t="str"/>
      <x:c r="D13" t="str">
        <x:f>IF(C13="","Not Assessed",IF(C13/B13&gt;=0.8,"Excellent",IF(C13/B13&gt;=0.6,"Competent","Needs Improvement")))</x:f>
        <x:v>Not Assessed</x:v>
      </x:c>
      <x:c r="E13" s="72" t="str"/>
    </x:row>
    <x:row r="14">
      <x:c r="A14" t="str">
        <x:v>Total</x:v>
      </x:c>
      <x:c r="B14" s="74" t="n">
        <x:v>100</x:v>
      </x:c>
      <x:c r="C14" s="77" t="n">
        <x:f>SUM(C5:C13)</x:f>
        <x:v>0</x:v>
      </x:c>
      <x:c r="D14" s="77" t="str"/>
      <x:c r="E14" s="72" t="str"/>
    </x:row>
    <x:row r="15">
      <x:c r="A15" t="str">
        <x:v>Final Classification</x:v>
      </x:c>
      <x:c r="B15" t="str"/>
      <x:c r="C15" s="77" t="str"/>
      <x:c r="D15" s="77" t="str">
        <x:f>IF(C14&gt;=80,"Distinction",IF(C14&gt;=70,"Merit",IF(C14&gt;=60,"Credit",IF(C14&gt;=50,"Pass","Fail"))))</x:f>
        <x:v>Fail</x:v>
      </x:c>
      <x:c r="E15" s="72" t="str"/>
    </x:row>
  </x:sheetData>
  <x:mergeCells>
    <x:mergeCell ref="A1:H2"/>
  </x:mergeCells>
  <x:conditionalFormatting sqref="D5:D13">
    <x:cfRule type="expression" dxfId="13" priority="1">
      <x:formula>D5="Excellent"</x:formula>
    </x:cfRule>
    <x:cfRule type="expression" dxfId="14" priority="2">
      <x:formula>D5="Needs Improvement"</x:formula>
    </x:cfRule>
  </x:conditionalFormatting>
  <x:dataValidations count="1">
    <x:dataValidation operator="between" sqref="C5:C13">
      <x:formula1>0</x:formula1>
      <x:formula2>20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14" hidden="0" customWidth="1"/>
  </x:cols>
  <x:sheetData>
    <x:row r="1" ht="30" customHeight="1">
      <x:c r="A1" s="5" t="str">
        <x:v>Capstone Project Dashboard</x:v>
      </x:c>
    </x:row>
    <x:row r="4">
      <x:c r="A4" s="51" t="str">
        <x:v>Project KPI</x:v>
      </x:c>
      <x:c r="B4" s="53" t="str">
        <x:v>Value</x:v>
      </x:c>
      <x:c r="D4" s="51" t="str">
        <x:v>Status</x:v>
      </x:c>
      <x:c r="E4" s="53" t="str">
        <x:v>Task Count</x:v>
      </x:c>
    </x:row>
    <x:row r="5">
      <x:c r="A5" s="80" t="str">
        <x:v>Total Tasks</x:v>
      </x:c>
      <x:c r="B5" s="82" t="n">
        <x:f>COUNTA('Project Plan'!A5:A16)</x:f>
        <x:v>12</x:v>
      </x:c>
      <x:c r="D5" t="str">
        <x:v>Not Started</x:v>
      </x:c>
      <x:c r="E5" t="n">
        <x:f>COUNTIF('Project Plan'!H5:H16,D5)</x:f>
        <x:v>12</x:v>
      </x:c>
    </x:row>
    <x:row r="6">
      <x:c r="A6" s="80" t="str">
        <x:v>Completed Tasks</x:v>
      </x:c>
      <x:c r="B6" s="82" t="n">
        <x:f>COUNTIF('Project Plan'!H5:H16,"Completed")</x:f>
        <x:v>0</x:v>
      </x:c>
      <x:c r="D6" t="str">
        <x:v>In Progress</x:v>
      </x:c>
      <x:c r="E6" t="n">
        <x:f>COUNTIF('Project Plan'!H5:H16,D6)</x:f>
        <x:v>0</x:v>
      </x:c>
    </x:row>
    <x:row r="7">
      <x:c r="A7" s="80" t="str">
        <x:v>Average Completion %</x:v>
      </x:c>
      <x:c r="B7" s="82" t="n">
        <x:f>AVERAGE('Project Plan'!I5:I16)</x:f>
        <x:v>0</x:v>
      </x:c>
      <x:c r="D7" t="str">
        <x:v>Blocked</x:v>
      </x:c>
      <x:c r="E7" t="n">
        <x:f>COUNTIF('Project Plan'!H5:H16,D7)</x:f>
        <x:v>0</x:v>
      </x:c>
    </x:row>
    <x:row r="8">
      <x:c r="A8" s="80" t="str">
        <x:v>Validated Business Questions</x:v>
      </x:c>
      <x:c r="B8" s="82" t="n">
        <x:f>COUNTIF('Business Questions'!H5:H12,"Validated")</x:f>
        <x:v>0</x:v>
      </x:c>
      <x:c r="D8" t="str">
        <x:v>Submitted</x:v>
      </x:c>
      <x:c r="E8" t="n">
        <x:f>COUNTIF('Project Plan'!H5:H16,D8)</x:f>
        <x:v>0</x:v>
      </x:c>
    </x:row>
    <x:row r="9">
      <x:c r="A9" s="80" t="str">
        <x:v>Open Data Quality Issues</x:v>
      </x:c>
      <x:c r="B9" s="82" t="n">
        <x:f>COUNTIF('Data Quality Register'!K5:K54,"Open")</x:f>
        <x:v>50</x:v>
      </x:c>
      <x:c r="D9" t="str">
        <x:v>Completed</x:v>
      </x:c>
      <x:c r="E9" t="n">
        <x:f>COUNTIF('Project Plan'!H5:H16,D9)</x:f>
        <x:v>0</x:v>
      </x:c>
    </x:row>
    <x:row r="10">
      <x:c r="A10" s="80" t="str">
        <x:v>Approved Findings</x:v>
      </x:c>
      <x:c r="B10" s="82" t="n">
        <x:f>COUNTIF(Findings!J5:J24,"Approved")</x:f>
        <x:v>0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5a46aeae29c64e2e"/>
</x:worksheet>
</file>