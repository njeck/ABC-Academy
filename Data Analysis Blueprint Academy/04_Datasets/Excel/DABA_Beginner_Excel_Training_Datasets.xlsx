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c92239e66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6926fb0b3f8485a"/>
    <x:sheet xmlns:r="http://schemas.openxmlformats.org/officeDocument/2006/relationships" name="Employees Clean" sheetId="2" r:id="R50c2eb8e8ab949be"/>
    <x:sheet xmlns:r="http://schemas.openxmlformats.org/officeDocument/2006/relationships" name="Employees Messy" sheetId="3" r:id="Rde6df202ee844925"/>
    <x:sheet xmlns:r="http://schemas.openxmlformats.org/officeDocument/2006/relationships" name="Customers Clean" sheetId="4" r:id="R6bc2dd951db4455d"/>
    <x:sheet xmlns:r="http://schemas.openxmlformats.org/officeDocument/2006/relationships" name="Customers Messy" sheetId="5" r:id="R0f1850f981f34c79"/>
    <x:sheet xmlns:r="http://schemas.openxmlformats.org/officeDocument/2006/relationships" name="Products Clean" sheetId="6" r:id="Rc617100a38284aa2"/>
    <x:sheet xmlns:r="http://schemas.openxmlformats.org/officeDocument/2006/relationships" name="Products Messy" sheetId="7" r:id="R9228c02491994df2"/>
    <x:sheet xmlns:r="http://schemas.openxmlformats.org/officeDocument/2006/relationships" name="Sales Clean" sheetId="8" r:id="R70751715c6b94060"/>
    <x:sheet xmlns:r="http://schemas.openxmlformats.org/officeDocument/2006/relationships" name="Sales Messy" sheetId="9" r:id="Rca10a8662431446a"/>
    <x:sheet xmlns:r="http://schemas.openxmlformats.org/officeDocument/2006/relationships" name="Inventory Clean" sheetId="10" r:id="R5e206dd22b964597"/>
    <x:sheet xmlns:r="http://schemas.openxmlformats.org/officeDocument/2006/relationships" name="Inventory Messy" sheetId="11" r:id="R3603ebabfcb04400"/>
    <x:sheet xmlns:r="http://schemas.openxmlformats.org/officeDocument/2006/relationships" name="Issue Log" sheetId="12" r:id="Rfddca05853ab461e"/>
    <x:sheet xmlns:r="http://schemas.openxmlformats.org/officeDocument/2006/relationships" name="Summary" sheetId="13" r:id="Ree3d2b02b8fc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E2F0D9"/>
      </x:patternFill>
    </x:fill>
  </x:fills>
  <x:borders count="14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1" xfId="0" applyNumberFormat="1" applyFont="1" applyFill="1" applyBorder="1"/>
    <x:xf numFmtId="201" fontId="0" fillId="8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04c21e756470b" /><Relationship Type="http://schemas.openxmlformats.org/officeDocument/2006/relationships/theme" Target="/xl/theme/theme1.xml" Id="R200c1ac4a8914c1a" /><Relationship Type="http://schemas.openxmlformats.org/officeDocument/2006/relationships/sharedStrings" Target="/xl/sharedStrings.xml" Id="R8be9a29486ad4e54" /><Relationship Type="http://schemas.openxmlformats.org/officeDocument/2006/relationships/worksheet" Target="/xl/worksheets/sheet1.xml" Id="Rd6926fb0b3f8485a" /><Relationship Type="http://schemas.openxmlformats.org/officeDocument/2006/relationships/worksheet" Target="/xl/worksheets/sheet2.xml" Id="R50c2eb8e8ab949be" /><Relationship Type="http://schemas.openxmlformats.org/officeDocument/2006/relationships/worksheet" Target="/xl/worksheets/sheet3.xml" Id="Rde6df202ee844925" /><Relationship Type="http://schemas.openxmlformats.org/officeDocument/2006/relationships/worksheet" Target="/xl/worksheets/sheet4.xml" Id="R6bc2dd951db4455d" /><Relationship Type="http://schemas.openxmlformats.org/officeDocument/2006/relationships/worksheet" Target="/xl/worksheets/sheet5.xml" Id="R0f1850f981f34c79" /><Relationship Type="http://schemas.openxmlformats.org/officeDocument/2006/relationships/worksheet" Target="/xl/worksheets/sheet6.xml" Id="Rc617100a38284aa2" /><Relationship Type="http://schemas.openxmlformats.org/officeDocument/2006/relationships/worksheet" Target="/xl/worksheets/sheet7.xml" Id="R9228c02491994df2" /><Relationship Type="http://schemas.openxmlformats.org/officeDocument/2006/relationships/worksheet" Target="/xl/worksheets/sheet8.xml" Id="R70751715c6b94060" /><Relationship Type="http://schemas.openxmlformats.org/officeDocument/2006/relationships/worksheet" Target="/xl/worksheets/sheet9.xml" Id="Rca10a8662431446a" /><Relationship Type="http://schemas.openxmlformats.org/officeDocument/2006/relationships/worksheet" Target="/xl/worksheets/sheet10.xml" Id="R5e206dd22b964597" /><Relationship Type="http://schemas.openxmlformats.org/officeDocument/2006/relationships/worksheet" Target="/xl/worksheets/sheet11.xml" Id="R3603ebabfcb04400" /><Relationship Type="http://schemas.openxmlformats.org/officeDocument/2006/relationships/worksheet" Target="/xl/worksheets/sheet12.xml" Id="Rfddca05853ab461e" /><Relationship Type="http://schemas.openxmlformats.org/officeDocument/2006/relationships/worksheet" Target="/xl/worksheets/sheet13.xml" Id="Ree3d2b02b8fc4e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745d3b279e4ea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by Branch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Sales</c:v>
          </c:tx>
          <c:cat>
            <c:strRef>
              <c:f>'Summary'!$G$5:$G$8</c:f>
              <c:strCache>
                <c:ptCount val="0"/>
              </c:strCache>
            </c:strRef>
          </c:cat>
          <c:val>
            <c:numRef>
              <c:f>'Summary'!$H$5:$H$8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45d3b279e4ea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sClean" displayName="EmployeesClean" ref="A4:L44" headerRowCount="1">
  <x:tableColumns count="12">
    <x:tableColumn id="1" name="Employee ID"/>
    <x:tableColumn id="2" name="First Name"/>
    <x:tableColumn id="3" name="Last Name"/>
    <x:tableColumn id="4" name="Gender"/>
    <x:tableColumn id="5" name="Department"/>
    <x:tableColumn id="6" name="Position"/>
    <x:tableColumn id="7" name="Branch"/>
    <x:tableColumn id="8" name="Hire Date"/>
    <x:tableColumn id="9" name="Monthly Salary (XAF)"/>
    <x:tableColumn id="10" name="Email"/>
    <x:tableColumn id="11" name="Phone"/>
    <x:tableColumn id="12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sMessy" displayName="EmployeesMessy" ref="A4:L46" headerRowCount="1">
  <x:tableColumns count="12">
    <x:tableColumn id="1" name="Employee ID"/>
    <x:tableColumn id="2" name="First Name"/>
    <x:tableColumn id="3" name="Last Name"/>
    <x:tableColumn id="4" name="Gender"/>
    <x:tableColumn id="5" name="Department"/>
    <x:tableColumn id="6" name="Position"/>
    <x:tableColumn id="7" name="Branch"/>
    <x:tableColumn id="8" name="Hire Date"/>
    <x:tableColumn id="9" name="Monthly Salary (XAF)"/>
    <x:tableColumn id="10" name="Email"/>
    <x:tableColumn id="11" name="Phone"/>
    <x:tableColumn id="12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Clean" displayName="CustomersClean" ref="A4:K64" headerRowCount="1">
  <x:tableColumns count="11">
    <x:tableColumn id="1" name="Customer ID"/>
    <x:tableColumn id="2" name="First Name"/>
    <x:tableColumn id="3" name="Last Name"/>
    <x:tableColumn id="4" name="Company Name"/>
    <x:tableColumn id="5" name="Customer Type"/>
    <x:tableColumn id="6" name="City"/>
    <x:tableColumn id="7" name="Email"/>
    <x:tableColumn id="8" name="Phone"/>
    <x:tableColumn id="9" name="Registration Date"/>
    <x:tableColumn id="10" name="Loyalty Status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CustomersMessy" displayName="CustomersMessy" ref="A4:K66" headerRowCount="1">
  <x:tableColumns count="11">
    <x:tableColumn id="1" name="Customer ID"/>
    <x:tableColumn id="2" name="First Name"/>
    <x:tableColumn id="3" name="Last Name"/>
    <x:tableColumn id="4" name="Company Name"/>
    <x:tableColumn id="5" name="Customer Type"/>
    <x:tableColumn id="6" name="City"/>
    <x:tableColumn id="7" name="Email"/>
    <x:tableColumn id="8" name="Phone"/>
    <x:tableColumn id="9" name="Registration Date"/>
    <x:tableColumn id="10" name="Loyalty Status"/>
    <x:tableColumn id="11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ProductsClean" displayName="ProductsClean" ref="A4:K34" headerRowCount="1">
  <x:tableColumns count="11">
    <x:tableColumn id="1" name="Product ID"/>
    <x:tableColumn id="2" name="Product Name"/>
    <x:tableColumn id="3" name="Category"/>
    <x:tableColumn id="4" name="Brand"/>
    <x:tableColumn id="5" name="Unit"/>
    <x:tableColumn id="6" name="Cost Price"/>
    <x:tableColumn id="7" name="Selling Price"/>
    <x:tableColumn id="8" name="Reorder Level"/>
    <x:tableColumn id="9" name="Reorder Quantity"/>
    <x:tableColumn id="10" name="Tax Rate (%)"/>
    <x:tableColumn id="11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ProductsMessy" displayName="ProductsMessy" ref="A4:K35" headerRowCount="1">
  <x:tableColumns count="11">
    <x:tableColumn id="1" name="Product ID"/>
    <x:tableColumn id="2" name="Product Name"/>
    <x:tableColumn id="3" name="Category"/>
    <x:tableColumn id="4" name="Brand"/>
    <x:tableColumn id="5" name="Unit"/>
    <x:tableColumn id="6" name="Cost Price"/>
    <x:tableColumn id="7" name="Selling Price"/>
    <x:tableColumn id="8" name="Reorder Level"/>
    <x:tableColumn id="9" name="Reorder Quantity"/>
    <x:tableColumn id="10" name="Tax Rate (%)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alesClean" displayName="SalesClean" ref="A4:K104" headerRowCount="1">
  <x:tableColumns count="11">
    <x:tableColumn id="1" name="Order ID"/>
    <x:tableColumn id="2" name="Order Date"/>
    <x:tableColumn id="3" name="Customer ID"/>
    <x:tableColumn id="4" name="Product ID"/>
    <x:tableColumn id="5" name="Quantity"/>
    <x:tableColumn id="6" name="Unit Price"/>
    <x:tableColumn id="7" name="Discount"/>
    <x:tableColumn id="8" name="Sales Total"/>
    <x:tableColumn id="9" name="Branch"/>
    <x:tableColumn id="10" name="Channel"/>
    <x:tableColumn id="11" name="Payme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SalesMessy" displayName="SalesMessy" ref="A4:K106" headerRowCount="1">
  <x:tableColumns count="11">
    <x:tableColumn id="1" name="Order ID"/>
    <x:tableColumn id="2" name="Order Date"/>
    <x:tableColumn id="3" name="Customer ID"/>
    <x:tableColumn id="4" name="Product ID"/>
    <x:tableColumn id="5" name="Quantity"/>
    <x:tableColumn id="6" name="Unit Price"/>
    <x:tableColumn id="7" name="Discount"/>
    <x:tableColumn id="8" name="Sales Total"/>
    <x:tableColumn id="9" name="Branch"/>
    <x:tableColumn id="10" name="Channel"/>
    <x:tableColumn id="11" name="Payment Status"/>
  </x:tableColumns>
  <x:tableStyleInfo name="TableStyleMedium2" showRowStripes="1"/>
</x:table>
</file>

<file path=xl/tables/table9.xml><?xml version="1.0" encoding="utf-8"?>
<x:table xmlns:x="http://schemas.openxmlformats.org/spreadsheetml/2006/main" id="9" name="InventoryClean" displayName="InventoryClean" ref="A4:I34" headerRowCount="1">
  <x:tableColumns count="9">
    <x:tableColumn id="1" name="Inventory ID"/>
    <x:tableColumn id="2" name="Product ID"/>
    <x:tableColumn id="3" name="Warehouse"/>
    <x:tableColumn id="4" name="Quantity On Hand"/>
    <x:tableColumn id="5" name="Quantity Reserved"/>
    <x:tableColumn id="6" name="Quantity Available"/>
    <x:tableColumn id="7" name="Reorder Level"/>
    <x:tableColumn id="8" name="Last Stock Count"/>
    <x:tableColumn id="9" name="Stock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InventoryMessy" displayName="InventoryMessy" ref="A4:I35" headerRowCount="1">
  <x:tableColumns count="9">
    <x:tableColumn id="1" name="Inventory ID"/>
    <x:tableColumn id="2" name="Product ID"/>
    <x:tableColumn id="3" name="Warehouse"/>
    <x:tableColumn id="4" name="Quantity On Hand"/>
    <x:tableColumn id="5" name="Quantity Reserved"/>
    <x:tableColumn id="6" name="Quantity Available"/>
    <x:tableColumn id="7" name="Reorder Level"/>
    <x:tableColumn id="8" name="Last Stock Count"/>
    <x:tableColumn id="9" name="Stock Status"/>
  </x:tableColumns>
  <x:tableStyleInfo name="TableStyleMedium2" showRowStripes="1"/>
</x:table>
</file>

<file path=xl/tables/table11.xml><?xml version="1.0" encoding="utf-8"?>
<x:table xmlns:x="http://schemas.openxmlformats.org/spreadsheetml/2006/main" id="11" name="IssueLogTable" displayName="IssueLogTable" ref="A4:H54" headerRowCount="1">
  <x:tableColumns count="8">
    <x:tableColumn id="1" name="Issue No."/>
    <x:tableColumn id="2" name="Dataset"/>
    <x:tableColumn id="3" name="Row / Record"/>
    <x:tableColumn id="4" name="Column"/>
    <x:tableColumn id="5" name="Problem Identified"/>
    <x:tableColumn id="6" name="Correction Made"/>
    <x:tableColumn id="7" name="Validation Method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d7e8683909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45b04b7f6a47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bb1ef95e5c49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0130d22dd34b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e303223bb4a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2a4fc5ab734e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0529e600a94b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acfbbf4d6c43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afff27a58c64a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d0f67147f6d4c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3b3beb584b849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a42212f3590440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 ht="30" customHeight="1">
      <x:c r="A1" s="5" t="str">
        <x:v>DABA Beginner Excel Training Dataset Package</x:v>
      </x:c>
    </x:row>
    <x:row r="4">
      <x:c r="A4" s="21" t="str">
        <x:v>Document Code</x:v>
      </x:c>
      <x:c r="B4" s="39" t="str">
        <x:v>DABA-ABC-EXCEL-001</x:v>
      </x:c>
    </x:row>
    <x:row r="5">
      <x:c r="A5" s="22" t="str">
        <x:v>Version</x:v>
      </x:c>
      <x:c r="B5" s="39" t="str">
        <x:v>1.0</x:v>
      </x:c>
    </x:row>
    <x:row r="6">
      <x:c r="A6" s="22" t="str">
        <x:v>Enterprise</x:v>
      </x:c>
      <x:c r="B6" s="39" t="str">
        <x:v>ABC Retail Ltd</x:v>
      </x:c>
    </x:row>
    <x:row r="7">
      <x:c r="A7" s="22" t="str">
        <x:v>Level</x:v>
      </x:c>
      <x:c r="B7" s="39" t="str">
        <x:v>Beginner</x:v>
      </x:c>
    </x:row>
    <x:row r="8">
      <x:c r="A8" s="22" t="str">
        <x:v>Purpose</x:v>
      </x:c>
      <x:c r="B8" s="39" t="str">
        <x:v>Excel data cleaning, formatting, formulas, sorting, filtering, and basic analysis</x:v>
      </x:c>
    </x:row>
    <x:row r="9">
      <x:c r="A9" s="22" t="str">
        <x:v>Clean datasets</x:v>
      </x:c>
      <x:c r="B9" s="39" t="n">
        <x:v>5</x:v>
      </x:c>
    </x:row>
    <x:row r="10">
      <x:c r="A10" s="22" t="str">
        <x:v>Messy datasets</x:v>
      </x:c>
      <x:c r="B10" s="39" t="n">
        <x:v>5</x:v>
      </x:c>
    </x:row>
    <x:row r="11">
      <x:c r="A11" s="22" t="str">
        <x:v>Instructor answer sheets</x:v>
      </x:c>
      <x:c r="B11" s="39" t="str">
        <x:v>Issue Log and Summary</x:v>
      </x:c>
    </x:row>
    <x:row r="12">
      <x:c r="A12" s="22" t="str">
        <x:v>Recommended tools</x:v>
      </x:c>
      <x:c r="B12" s="39" t="str">
        <x:v>Excel Tables, Remove Duplicates, Find &amp; Replace, Text functions, IF, SUMIFS, COUNTIFS</x:v>
      </x:c>
    </x:row>
    <x:row r="13">
      <x:c r="A13" s="22" t="str">
        <x:v>Data classification</x:v>
      </x:c>
      <x:c r="B13" s="39" t="str">
        <x:v>Synthetic training data only</x:v>
      </x:c>
    </x:row>
    <x:row r="14">
      <x:c r="A14" s="23" t="str">
        <x:v>Founder</x:v>
      </x:c>
      <x:c r="B14" s="39" t="str">
        <x:v>Mbah Dousbel Angum</x:v>
      </x:c>
    </x:row>
    <x:row r="16">
      <x:c r="A16" s="51" t="str">
        <x:v>Recommended Classroom Workflow</x:v>
      </x:c>
      <x:c r="B16" s="52" t="str"/>
      <x:c r="C16" s="52" t="str"/>
      <x:c r="D16" s="52" t="str"/>
      <x:c r="E16" s="52" t="str"/>
      <x:c r="F16" s="52" t="str"/>
      <x:c r="G16" s="52" t="str"/>
      <x:c r="H16" s="53" t="str"/>
    </x:row>
    <x:row r="18">
      <x:c r="A18" s="21" t="str">
        <x:v>1</x:v>
      </x:c>
      <x:c r="B18" s="67" t="str">
        <x:v>Open a messy dataset and identify visible problems.</x:v>
      </x:c>
    </x:row>
    <x:row r="19">
      <x:c r="A19" s="22" t="str">
        <x:v>2</x:v>
      </x:c>
      <x:c r="B19" s="67" t="str">
        <x:v>Create a copy before cleaning.</x:v>
      </x:c>
    </x:row>
    <x:row r="20">
      <x:c r="A20" s="22" t="str">
        <x:v>3</x:v>
      </x:c>
      <x:c r="B20" s="67" t="str">
        <x:v>Remove duplicates and correct missing values.</x:v>
      </x:c>
    </x:row>
    <x:row r="21">
      <x:c r="A21" s="22" t="str">
        <x:v>4</x:v>
      </x:c>
      <x:c r="B21" s="67" t="str">
        <x:v>Standardize text, dates, phone numbers, categories, and capitalization.</x:v>
      </x:c>
    </x:row>
    <x:row r="22">
      <x:c r="A22" s="22" t="str">
        <x:v>5</x:v>
      </x:c>
      <x:c r="B22" s="67" t="str">
        <x:v>Compare the cleaned result with the clean reference sheet.</x:v>
      </x:c>
    </x:row>
    <x:row r="23">
      <x:c r="A23" s="22" t="str">
        <x:v>6</x:v>
      </x:c>
      <x:c r="B23" s="67" t="str">
        <x:v>Record every issue found in the Issue Log.</x:v>
      </x:c>
    </x:row>
    <x:row r="24">
      <x:c r="A24" s="23" t="str">
        <x:v>7</x:v>
      </x:c>
      <x:c r="B24" s="67" t="str">
        <x:v>Complete the Summary sheet questions and calculations.</x:v>
      </x:c>
    </x:row>
  </x:sheetData>
  <x:mergeCells>
    <x:mergeCell ref="A1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25" hidden="0" customWidth="1"/>
    <x:col min="3" max="3" width="11" hidden="0" customWidth="1"/>
    <x:col min="4" max="4" width="8.75" hidden="0" customWidth="1"/>
    <x:col min="5" max="5" width="20" hidden="0" customWidth="1"/>
    <x:col min="6" max="6" width="24" hidden="0" customWidth="1"/>
    <x:col min="7" max="7" width="20" hidden="0" customWidth="1"/>
    <x:col min="8" max="8" width="10.25" hidden="0" customWidth="1"/>
    <x:col min="9" max="9" width="19.1299991607666" hidden="0" customWidth="1"/>
    <x:col min="10" max="10" width="30" hidden="0" customWidth="1"/>
    <x:col min="11" max="11" width="20" hidden="0" customWidth="1"/>
    <x:col min="12" max="12" width="7.75" hidden="0" customWidth="1"/>
  </x:cols>
  <x:sheetData>
    <x:row r="1" ht="30" customHeight="1">
      <x:c r="A1" s="5" t="str">
        <x:v>Employees — Clean Reference</x:v>
      </x:c>
    </x:row>
    <x:row r="3">
      <x:c r="A3" s="76" t="str">
        <x:v>CLEAN REFERENCE DATASET</x:v>
      </x:c>
    </x:row>
    <x:row r="4">
      <x:c r="A4" s="51" t="str">
        <x:v>Employee ID</x:v>
      </x:c>
      <x:c r="B4" s="52" t="str">
        <x:v>First Name</x:v>
      </x:c>
      <x:c r="C4" s="52" t="str">
        <x:v>Last Name</x:v>
      </x:c>
      <x:c r="D4" s="52" t="str">
        <x:v>Gender</x:v>
      </x:c>
      <x:c r="E4" s="52" t="str">
        <x:v>Department</x:v>
      </x:c>
      <x:c r="F4" s="52" t="str">
        <x:v>Position</x:v>
      </x:c>
      <x:c r="G4" s="52" t="str">
        <x:v>Branch</x:v>
      </x:c>
      <x:c r="H4" s="52" t="str">
        <x:v>Hire Date</x:v>
      </x:c>
      <x:c r="I4" s="52" t="str">
        <x:v>Monthly Salary (XAF)</x:v>
      </x:c>
      <x:c r="J4" s="52" t="str">
        <x:v>Email</x:v>
      </x:c>
      <x:c r="K4" s="52" t="str">
        <x:v>Phone</x:v>
      </x:c>
      <x:c r="L4" s="53" t="str">
        <x:v>Status</x:v>
      </x:c>
    </x:row>
    <x:row r="5" ht="18" customHeight="1">
      <x:c r="A5" t="str">
        <x:v>EMP0001</x:v>
      </x:c>
      <x:c r="B5" t="str">
        <x:v>Aline</x:v>
      </x:c>
      <x:c r="C5" t="str">
        <x:v>Nkem</x:v>
      </x:c>
      <x:c r="D5" t="str">
        <x:v>Male</x:v>
      </x:c>
      <x:c r="E5" t="str">
        <x:v>Sales</x:v>
      </x:c>
      <x:c r="F5" t="str">
        <x:v>Sales Representative</x:v>
      </x:c>
      <x:c r="G5" t="str">
        <x:v>Douala Central</x:v>
      </x:c>
      <x:c r="H5" s="70" t="n">
        <x:v>44585</x:v>
      </x:c>
      <x:c r="I5" s="72" t="n">
        <x:v>445000</x:v>
      </x:c>
      <x:c r="J5" t="str">
        <x:v>aline.nkem@abcretail.test</x:v>
      </x:c>
      <x:c r="K5" t="str">
        <x:v>+237 671 101 201</x:v>
      </x:c>
      <x:c r="L5" t="str">
        <x:v>Active</x:v>
      </x:c>
    </x:row>
    <x:row r="6" ht="18" customHeight="1">
      <x:c r="A6" t="str">
        <x:v>EMP0002</x:v>
      </x:c>
      <x:c r="B6" t="str">
        <x:v>Boris</x:v>
      </x:c>
      <x:c r="C6" t="str">
        <x:v>Ewane</x:v>
      </x:c>
      <x:c r="D6" t="str">
        <x:v>Female</x:v>
      </x:c>
      <x:c r="E6" t="str">
        <x:v>Finance</x:v>
      </x:c>
      <x:c r="F6" t="str">
        <x:v>Accountant</x:v>
      </x:c>
      <x:c r="G6" t="str">
        <x:v>Yaounde Central</x:v>
      </x:c>
      <x:c r="H6" s="70" t="n">
        <x:v>44608</x:v>
      </x:c>
      <x:c r="I6" s="72" t="n">
        <x:v>700000</x:v>
      </x:c>
      <x:c r="J6" t="str">
        <x:v>boris.ewane@abcretail.test</x:v>
      </x:c>
      <x:c r="K6" t="str">
        <x:v>+237 672 102 202</x:v>
      </x:c>
      <x:c r="L6" t="str">
        <x:v>Active</x:v>
      </x:c>
    </x:row>
    <x:row r="7" ht="18" customHeight="1">
      <x:c r="A7" t="str">
        <x:v>EMP0003</x:v>
      </x:c>
      <x:c r="B7" t="str">
        <x:v>Claudine</x:v>
      </x:c>
      <x:c r="C7" t="str">
        <x:v>Fotso</x:v>
      </x:c>
      <x:c r="D7" t="str">
        <x:v>Male</x:v>
      </x:c>
      <x:c r="E7" t="str">
        <x:v>Human Resources</x:v>
      </x:c>
      <x:c r="F7" t="str">
        <x:v>HR Officer</x:v>
      </x:c>
      <x:c r="G7" t="str">
        <x:v>Buea Branch</x:v>
      </x:c>
      <x:c r="H7" s="70" t="n">
        <x:v>44631</x:v>
      </x:c>
      <x:c r="I7" s="72" t="n">
        <x:v>595000</x:v>
      </x:c>
      <x:c r="J7" t="str">
        <x:v>claudine.fotso@abcretail.test</x:v>
      </x:c>
      <x:c r="K7" t="str">
        <x:v>+237 673 103 203</x:v>
      </x:c>
      <x:c r="L7" t="str">
        <x:v>Active</x:v>
      </x:c>
    </x:row>
    <x:row r="8" ht="18" customHeight="1">
      <x:c r="A8" t="str">
        <x:v>EMP0004</x:v>
      </x:c>
      <x:c r="B8" t="str">
        <x:v>David</x:v>
      </x:c>
      <x:c r="C8" t="str">
        <x:v>Bih</x:v>
      </x:c>
      <x:c r="D8" t="str">
        <x:v>Female</x:v>
      </x:c>
      <x:c r="E8" t="str">
        <x:v>Marketing</x:v>
      </x:c>
      <x:c r="F8" t="str">
        <x:v>Marketing Officer</x:v>
      </x:c>
      <x:c r="G8" t="str">
        <x:v>Bafoussam Branch</x:v>
      </x:c>
      <x:c r="H8" s="70" t="n">
        <x:v>44654</x:v>
      </x:c>
      <x:c r="I8" s="72" t="n">
        <x:v>650000</x:v>
      </x:c>
      <x:c r="J8" t="str">
        <x:v>david.bih@abcretail.test</x:v>
      </x:c>
      <x:c r="K8" t="str">
        <x:v>+237 674 104 204</x:v>
      </x:c>
      <x:c r="L8" t="str">
        <x:v>Active</x:v>
      </x:c>
    </x:row>
    <x:row r="9" ht="18" customHeight="1">
      <x:c r="A9" t="str">
        <x:v>EMP0005</x:v>
      </x:c>
      <x:c r="B9" t="str">
        <x:v>Esther</x:v>
      </x:c>
      <x:c r="C9" t="str">
        <x:v>Kotto</x:v>
      </x:c>
      <x:c r="D9" t="str">
        <x:v>Male</x:v>
      </x:c>
      <x:c r="E9" t="str">
        <x:v>Inventory</x:v>
      </x:c>
      <x:c r="F9" t="str">
        <x:v>Storekeeper</x:v>
      </x:c>
      <x:c r="G9" t="str">
        <x:v>Douala Central</x:v>
      </x:c>
      <x:c r="H9" s="70" t="n">
        <x:v>44677</x:v>
      </x:c>
      <x:c r="I9" s="72" t="n">
        <x:v>350000</x:v>
      </x:c>
      <x:c r="J9" t="str">
        <x:v>esther.kotto@abcretail.test</x:v>
      </x:c>
      <x:c r="K9" t="str">
        <x:v>+237 675 105 205</x:v>
      </x:c>
      <x:c r="L9" t="str">
        <x:v>Active</x:v>
      </x:c>
    </x:row>
    <x:row r="10" ht="18" customHeight="1">
      <x:c r="A10" t="str">
        <x:v>EMP0006</x:v>
      </x:c>
      <x:c r="B10" t="str">
        <x:v>Frank</x:v>
      </x:c>
      <x:c r="C10" t="str">
        <x:v>Sama</x:v>
      </x:c>
      <x:c r="D10" t="str">
        <x:v>Female</x:v>
      </x:c>
      <x:c r="E10" t="str">
        <x:v>IT</x:v>
      </x:c>
      <x:c r="F10" t="str">
        <x:v>IT Support Officer</x:v>
      </x:c>
      <x:c r="G10" t="str">
        <x:v>Yaounde Central</x:v>
      </x:c>
      <x:c r="H10" s="70" t="n">
        <x:v>44700</x:v>
      </x:c>
      <x:c r="I10" s="72" t="n">
        <x:v>645000</x:v>
      </x:c>
      <x:c r="J10" t="str">
        <x:v>frank.sama@abcretail.test</x:v>
      </x:c>
      <x:c r="K10" t="str">
        <x:v>+237 676 106 206</x:v>
      </x:c>
      <x:c r="L10" t="str">
        <x:v>Active</x:v>
      </x:c>
    </x:row>
    <x:row r="11" ht="18" customHeight="1">
      <x:c r="A11" t="str">
        <x:v>EMP0007</x:v>
      </x:c>
      <x:c r="B11" t="str">
        <x:v>Grace</x:v>
      </x:c>
      <x:c r="C11" t="str">
        <x:v>Manga</x:v>
      </x:c>
      <x:c r="D11" t="str">
        <x:v>Male</x:v>
      </x:c>
      <x:c r="E11" t="str">
        <x:v>Sales</x:v>
      </x:c>
      <x:c r="F11" t="str">
        <x:v>Sales Representative</x:v>
      </x:c>
      <x:c r="G11" t="str">
        <x:v>Buea Branch</x:v>
      </x:c>
      <x:c r="H11" s="70" t="n">
        <x:v>44723</x:v>
      </x:c>
      <x:c r="I11" s="72" t="n">
        <x:v>470000</x:v>
      </x:c>
      <x:c r="J11" t="str">
        <x:v>grace.manga@abcretail.test</x:v>
      </x:c>
      <x:c r="K11" t="str">
        <x:v>+237 677 107 207</x:v>
      </x:c>
      <x:c r="L11" t="str">
        <x:v>Active</x:v>
      </x:c>
    </x:row>
    <x:row r="12" ht="18" customHeight="1">
      <x:c r="A12" t="str">
        <x:v>EMP0008</x:v>
      </x:c>
      <x:c r="B12" t="str">
        <x:v>Henry</x:v>
      </x:c>
      <x:c r="C12" t="str">
        <x:v>Asong</x:v>
      </x:c>
      <x:c r="D12" t="str">
        <x:v>Female</x:v>
      </x:c>
      <x:c r="E12" t="str">
        <x:v>Finance</x:v>
      </x:c>
      <x:c r="F12" t="str">
        <x:v>Accountant</x:v>
      </x:c>
      <x:c r="G12" t="str">
        <x:v>Bafoussam Branch</x:v>
      </x:c>
      <x:c r="H12" s="70" t="n">
        <x:v>44746</x:v>
      </x:c>
      <x:c r="I12" s="72" t="n">
        <x:v>725000</x:v>
      </x:c>
      <x:c r="J12" t="str">
        <x:v>henry.asong@abcretail.test</x:v>
      </x:c>
      <x:c r="K12" t="str">
        <x:v>+237 678 108 208</x:v>
      </x:c>
      <x:c r="L12" t="str">
        <x:v>Active</x:v>
      </x:c>
    </x:row>
    <x:row r="13" ht="18" customHeight="1">
      <x:c r="A13" t="str">
        <x:v>EMP0009</x:v>
      </x:c>
      <x:c r="B13" t="str">
        <x:v>Irene</x:v>
      </x:c>
      <x:c r="C13" t="str">
        <x:v>Mbi</x:v>
      </x:c>
      <x:c r="D13" t="str">
        <x:v>Male</x:v>
      </x:c>
      <x:c r="E13" t="str">
        <x:v>Human Resources</x:v>
      </x:c>
      <x:c r="F13" t="str">
        <x:v>HR Officer</x:v>
      </x:c>
      <x:c r="G13" t="str">
        <x:v>Douala Central</x:v>
      </x:c>
      <x:c r="H13" s="70" t="n">
        <x:v>44769</x:v>
      </x:c>
      <x:c r="I13" s="72" t="n">
        <x:v>620000</x:v>
      </x:c>
      <x:c r="J13" t="str">
        <x:v>irene.mbi@abcretail.test</x:v>
      </x:c>
      <x:c r="K13" t="str">
        <x:v>+237 679 109 209</x:v>
      </x:c>
      <x:c r="L13" t="str">
        <x:v>Active</x:v>
      </x:c>
    </x:row>
    <x:row r="14" ht="18" customHeight="1">
      <x:c r="A14" t="str">
        <x:v>EMP0010</x:v>
      </x:c>
      <x:c r="B14" t="str">
        <x:v>Joel</x:v>
      </x:c>
      <x:c r="C14" t="str">
        <x:v>Ngwa</x:v>
      </x:c>
      <x:c r="D14" t="str">
        <x:v>Female</x:v>
      </x:c>
      <x:c r="E14" t="str">
        <x:v>Marketing</x:v>
      </x:c>
      <x:c r="F14" t="str">
        <x:v>Marketing Officer</x:v>
      </x:c>
      <x:c r="G14" t="str">
        <x:v>Yaounde Central</x:v>
      </x:c>
      <x:c r="H14" s="70" t="n">
        <x:v>44792</x:v>
      </x:c>
      <x:c r="I14" s="72" t="n">
        <x:v>550000</x:v>
      </x:c>
      <x:c r="J14" t="str">
        <x:v>joel.ngwa@abcretail.test</x:v>
      </x:c>
      <x:c r="K14" t="str">
        <x:v>+237 680 110 210</x:v>
      </x:c>
      <x:c r="L14" t="str">
        <x:v>Active</x:v>
      </x:c>
    </x:row>
    <x:row r="15" ht="18" customHeight="1">
      <x:c r="A15" t="str">
        <x:v>EMP0011</x:v>
      </x:c>
      <x:c r="B15" t="str">
        <x:v>Kevin</x:v>
      </x:c>
      <x:c r="C15" t="str">
        <x:v>Njoya</x:v>
      </x:c>
      <x:c r="D15" t="str">
        <x:v>Male</x:v>
      </x:c>
      <x:c r="E15" t="str">
        <x:v>Inventory</x:v>
      </x:c>
      <x:c r="F15" t="str">
        <x:v>Storekeeper</x:v>
      </x:c>
      <x:c r="G15" t="str">
        <x:v>Buea Branch</x:v>
      </x:c>
      <x:c r="H15" s="70" t="n">
        <x:v>44815</x:v>
      </x:c>
      <x:c r="I15" s="72" t="n">
        <x:v>375000</x:v>
      </x:c>
      <x:c r="J15" t="str">
        <x:v>kevin.njoya@abcretail.test</x:v>
      </x:c>
      <x:c r="K15" t="str">
        <x:v>+237 681 111 211</x:v>
      </x:c>
      <x:c r="L15" t="str">
        <x:v>Active</x:v>
      </x:c>
    </x:row>
    <x:row r="16" ht="18" customHeight="1">
      <x:c r="A16" t="str">
        <x:v>EMP0012</x:v>
      </x:c>
      <x:c r="B16" t="str">
        <x:v>Linda</x:v>
      </x:c>
      <x:c r="C16" t="str">
        <x:v>Fopa</x:v>
      </x:c>
      <x:c r="D16" t="str">
        <x:v>Female</x:v>
      </x:c>
      <x:c r="E16" t="str">
        <x:v>IT</x:v>
      </x:c>
      <x:c r="F16" t="str">
        <x:v>IT Support Officer</x:v>
      </x:c>
      <x:c r="G16" t="str">
        <x:v>Bafoussam Branch</x:v>
      </x:c>
      <x:c r="H16" s="70" t="n">
        <x:v>44838</x:v>
      </x:c>
      <x:c r="I16" s="72" t="n">
        <x:v>670000</x:v>
      </x:c>
      <x:c r="J16" t="str">
        <x:v>linda.fopa@abcretail.test</x:v>
      </x:c>
      <x:c r="K16" t="str">
        <x:v>+237 682 112 212</x:v>
      </x:c>
      <x:c r="L16" t="str">
        <x:v>Active</x:v>
      </x:c>
    </x:row>
    <x:row r="17" ht="18" customHeight="1">
      <x:c r="A17" t="str">
        <x:v>EMP0013</x:v>
      </x:c>
      <x:c r="B17" t="str">
        <x:v>Mary</x:v>
      </x:c>
      <x:c r="C17" t="str">
        <x:v>Mboa</x:v>
      </x:c>
      <x:c r="D17" t="str">
        <x:v>Male</x:v>
      </x:c>
      <x:c r="E17" t="str">
        <x:v>Sales</x:v>
      </x:c>
      <x:c r="F17" t="str">
        <x:v>Sales Representative</x:v>
      </x:c>
      <x:c r="G17" t="str">
        <x:v>Douala Central</x:v>
      </x:c>
      <x:c r="H17" s="70" t="n">
        <x:v>44861</x:v>
      </x:c>
      <x:c r="I17" s="72" t="n">
        <x:v>495000</x:v>
      </x:c>
      <x:c r="J17" t="str">
        <x:v>mary.mboa@abcretail.test</x:v>
      </x:c>
      <x:c r="K17" t="str">
        <x:v>+237 683 113 213</x:v>
      </x:c>
      <x:c r="L17" t="str">
        <x:v>Active</x:v>
      </x:c>
    </x:row>
    <x:row r="18" ht="18" customHeight="1">
      <x:c r="A18" t="str">
        <x:v>EMP0014</x:v>
      </x:c>
      <x:c r="B18" t="str">
        <x:v>Nadine</x:v>
      </x:c>
      <x:c r="C18" t="str">
        <x:v>Tambe</x:v>
      </x:c>
      <x:c r="D18" t="str">
        <x:v>Female</x:v>
      </x:c>
      <x:c r="E18" t="str">
        <x:v>Finance</x:v>
      </x:c>
      <x:c r="F18" t="str">
        <x:v>Accountant</x:v>
      </x:c>
      <x:c r="G18" t="str">
        <x:v>Yaounde Central</x:v>
      </x:c>
      <x:c r="H18" s="70" t="n">
        <x:v>44884</x:v>
      </x:c>
      <x:c r="I18" s="72" t="n">
        <x:v>750000</x:v>
      </x:c>
      <x:c r="J18" t="str">
        <x:v>nadine.tambe@abcretail.test</x:v>
      </x:c>
      <x:c r="K18" t="str">
        <x:v>+237 684 114 214</x:v>
      </x:c>
      <x:c r="L18" t="str">
        <x:v>Active</x:v>
      </x:c>
    </x:row>
    <x:row r="19" ht="18" customHeight="1">
      <x:c r="A19" t="str">
        <x:v>EMP0015</x:v>
      </x:c>
      <x:c r="B19" t="str">
        <x:v>Oscar</x:v>
      </x:c>
      <x:c r="C19" t="str">
        <x:v>Fru</x:v>
      </x:c>
      <x:c r="D19" t="str">
        <x:v>Male</x:v>
      </x:c>
      <x:c r="E19" t="str">
        <x:v>Human Resources</x:v>
      </x:c>
      <x:c r="F19" t="str">
        <x:v>HR Officer</x:v>
      </x:c>
      <x:c r="G19" t="str">
        <x:v>Buea Branch</x:v>
      </x:c>
      <x:c r="H19" s="70" t="n">
        <x:v>44907</x:v>
      </x:c>
      <x:c r="I19" s="72" t="n">
        <x:v>520000</x:v>
      </x:c>
      <x:c r="J19" t="str">
        <x:v>oscar.fru@abcretail.test</x:v>
      </x:c>
      <x:c r="K19" t="str">
        <x:v>+237 685 115 215</x:v>
      </x:c>
      <x:c r="L19" t="str">
        <x:v>Active</x:v>
      </x:c>
    </x:row>
    <x:row r="20" ht="18" customHeight="1">
      <x:c r="A20" t="str">
        <x:v>EMP0016</x:v>
      </x:c>
      <x:c r="B20" t="str">
        <x:v>Patricia</x:v>
      </x:c>
      <x:c r="C20" t="str">
        <x:v>Talla</x:v>
      </x:c>
      <x:c r="D20" t="str">
        <x:v>Female</x:v>
      </x:c>
      <x:c r="E20" t="str">
        <x:v>Marketing</x:v>
      </x:c>
      <x:c r="F20" t="str">
        <x:v>Marketing Officer</x:v>
      </x:c>
      <x:c r="G20" t="str">
        <x:v>Bafoussam Branch</x:v>
      </x:c>
      <x:c r="H20" s="70" t="n">
        <x:v>44930</x:v>
      </x:c>
      <x:c r="I20" s="72" t="n">
        <x:v>575000</x:v>
      </x:c>
      <x:c r="J20" t="str">
        <x:v>patricia.talla@abcretail.test</x:v>
      </x:c>
      <x:c r="K20" t="str">
        <x:v>+237 686 116 216</x:v>
      </x:c>
      <x:c r="L20" t="str">
        <x:v>Active</x:v>
      </x:c>
    </x:row>
    <x:row r="21" ht="18" customHeight="1">
      <x:c r="A21" t="str">
        <x:v>EMP0017</x:v>
      </x:c>
      <x:c r="B21" t="str">
        <x:v>Quentin</x:v>
      </x:c>
      <x:c r="C21" t="str">
        <x:v>Mafor</x:v>
      </x:c>
      <x:c r="D21" t="str">
        <x:v>Male</x:v>
      </x:c>
      <x:c r="E21" t="str">
        <x:v>Inventory</x:v>
      </x:c>
      <x:c r="F21" t="str">
        <x:v>Storekeeper</x:v>
      </x:c>
      <x:c r="G21" t="str">
        <x:v>Douala Central</x:v>
      </x:c>
      <x:c r="H21" s="70" t="n">
        <x:v>44953</x:v>
      </x:c>
      <x:c r="I21" s="72" t="n">
        <x:v>400000</x:v>
      </x:c>
      <x:c r="J21" t="str">
        <x:v>quentin.mafor@abcretail.test</x:v>
      </x:c>
      <x:c r="K21" t="str">
        <x:v>+237 687 117 217</x:v>
      </x:c>
      <x:c r="L21" t="str">
        <x:v>Active</x:v>
      </x:c>
    </x:row>
    <x:row r="22" ht="18" customHeight="1">
      <x:c r="A22" t="str">
        <x:v>EMP0018</x:v>
      </x:c>
      <x:c r="B22" t="str">
        <x:v>Rose</x:v>
      </x:c>
      <x:c r="C22" t="str">
        <x:v>Atem</x:v>
      </x:c>
      <x:c r="D22" t="str">
        <x:v>Female</x:v>
      </x:c>
      <x:c r="E22" t="str">
        <x:v>IT</x:v>
      </x:c>
      <x:c r="F22" t="str">
        <x:v>IT Support Officer</x:v>
      </x:c>
      <x:c r="G22" t="str">
        <x:v>Yaounde Central</x:v>
      </x:c>
      <x:c r="H22" s="70" t="n">
        <x:v>44976</x:v>
      </x:c>
      <x:c r="I22" s="72" t="n">
        <x:v>695000</x:v>
      </x:c>
      <x:c r="J22" t="str">
        <x:v>rose.atem@abcretail.test</x:v>
      </x:c>
      <x:c r="K22" t="str">
        <x:v>+237 688 118 218</x:v>
      </x:c>
      <x:c r="L22" t="str">
        <x:v>Active</x:v>
      </x:c>
    </x:row>
    <x:row r="23" ht="18" customHeight="1">
      <x:c r="A23" t="str">
        <x:v>EMP0019</x:v>
      </x:c>
      <x:c r="B23" t="str">
        <x:v>Samuel</x:v>
      </x:c>
      <x:c r="C23" t="str">
        <x:v>Ndongo</x:v>
      </x:c>
      <x:c r="D23" t="str">
        <x:v>Male</x:v>
      </x:c>
      <x:c r="E23" t="str">
        <x:v>Sales</x:v>
      </x:c>
      <x:c r="F23" t="str">
        <x:v>Sales Representative</x:v>
      </x:c>
      <x:c r="G23" t="str">
        <x:v>Buea Branch</x:v>
      </x:c>
      <x:c r="H23" s="70" t="n">
        <x:v>44999</x:v>
      </x:c>
      <x:c r="I23" s="72" t="n">
        <x:v>520000</x:v>
      </x:c>
      <x:c r="J23" t="str">
        <x:v>samuel.ndongo@abcretail.test</x:v>
      </x:c>
      <x:c r="K23" t="str">
        <x:v>+237 689 119 219</x:v>
      </x:c>
      <x:c r="L23" t="str">
        <x:v>Active</x:v>
      </x:c>
    </x:row>
    <x:row r="24" ht="18" customHeight="1">
      <x:c r="A24" t="str">
        <x:v>EMP0020</x:v>
      </x:c>
      <x:c r="B24" t="str">
        <x:v>Yvette</x:v>
      </x:c>
      <x:c r="C24" t="str">
        <x:v>Etoa</x:v>
      </x:c>
      <x:c r="D24" t="str">
        <x:v>Female</x:v>
      </x:c>
      <x:c r="E24" t="str">
        <x:v>Finance</x:v>
      </x:c>
      <x:c r="F24" t="str">
        <x:v>Accountant</x:v>
      </x:c>
      <x:c r="G24" t="str">
        <x:v>Bafoussam Branch</x:v>
      </x:c>
      <x:c r="H24" s="70" t="n">
        <x:v>45022</x:v>
      </x:c>
      <x:c r="I24" s="72" t="n">
        <x:v>650000</x:v>
      </x:c>
      <x:c r="J24" t="str">
        <x:v>yvette.etoa@abcretail.test</x:v>
      </x:c>
      <x:c r="K24" t="str">
        <x:v>+237 670 120 220</x:v>
      </x:c>
      <x:c r="L24" t="str">
        <x:v>Active</x:v>
      </x:c>
    </x:row>
    <x:row r="25" ht="18" customHeight="1">
      <x:c r="A25" t="str">
        <x:v>EMP0021</x:v>
      </x:c>
      <x:c r="B25" t="str">
        <x:v>Aline</x:v>
      </x:c>
      <x:c r="C25" t="str">
        <x:v>Nkem</x:v>
      </x:c>
      <x:c r="D25" t="str">
        <x:v>Male</x:v>
      </x:c>
      <x:c r="E25" t="str">
        <x:v>Human Resources</x:v>
      </x:c>
      <x:c r="F25" t="str">
        <x:v>HR Officer</x:v>
      </x:c>
      <x:c r="G25" t="str">
        <x:v>Douala Central</x:v>
      </x:c>
      <x:c r="H25" s="70" t="n">
        <x:v>45045</x:v>
      </x:c>
      <x:c r="I25" s="72" t="n">
        <x:v>545000</x:v>
      </x:c>
      <x:c r="J25" t="str">
        <x:v>aline.nkem@abcretail.test</x:v>
      </x:c>
      <x:c r="K25" t="str">
        <x:v>+237 671 121 221</x:v>
      </x:c>
      <x:c r="L25" t="str">
        <x:v>Active</x:v>
      </x:c>
    </x:row>
    <x:row r="26" ht="18" customHeight="1">
      <x:c r="A26" t="str">
        <x:v>EMP0022</x:v>
      </x:c>
      <x:c r="B26" t="str">
        <x:v>Boris</x:v>
      </x:c>
      <x:c r="C26" t="str">
        <x:v>Ewane</x:v>
      </x:c>
      <x:c r="D26" t="str">
        <x:v>Female</x:v>
      </x:c>
      <x:c r="E26" t="str">
        <x:v>Marketing</x:v>
      </x:c>
      <x:c r="F26" t="str">
        <x:v>Marketing Officer</x:v>
      </x:c>
      <x:c r="G26" t="str">
        <x:v>Yaounde Central</x:v>
      </x:c>
      <x:c r="H26" s="70" t="n">
        <x:v>45068</x:v>
      </x:c>
      <x:c r="I26" s="72" t="n">
        <x:v>600000</x:v>
      </x:c>
      <x:c r="J26" t="str">
        <x:v>boris.ewane@abcretail.test</x:v>
      </x:c>
      <x:c r="K26" t="str">
        <x:v>+237 672 122 222</x:v>
      </x:c>
      <x:c r="L26" t="str">
        <x:v>Active</x:v>
      </x:c>
    </x:row>
    <x:row r="27" ht="18" customHeight="1">
      <x:c r="A27" t="str">
        <x:v>EMP0023</x:v>
      </x:c>
      <x:c r="B27" t="str">
        <x:v>Claudine</x:v>
      </x:c>
      <x:c r="C27" t="str">
        <x:v>Fotso</x:v>
      </x:c>
      <x:c r="D27" t="str">
        <x:v>Male</x:v>
      </x:c>
      <x:c r="E27" t="str">
        <x:v>Inventory</x:v>
      </x:c>
      <x:c r="F27" t="str">
        <x:v>Storekeeper</x:v>
      </x:c>
      <x:c r="G27" t="str">
        <x:v>Buea Branch</x:v>
      </x:c>
      <x:c r="H27" s="70" t="n">
        <x:v>45091</x:v>
      </x:c>
      <x:c r="I27" s="72" t="n">
        <x:v>425000</x:v>
      </x:c>
      <x:c r="J27" t="str">
        <x:v>claudine.fotso@abcretail.test</x:v>
      </x:c>
      <x:c r="K27" t="str">
        <x:v>+237 673 123 223</x:v>
      </x:c>
      <x:c r="L27" t="str">
        <x:v>Active</x:v>
      </x:c>
    </x:row>
    <x:row r="28" ht="18" customHeight="1">
      <x:c r="A28" t="str">
        <x:v>EMP0024</x:v>
      </x:c>
      <x:c r="B28" t="str">
        <x:v>David</x:v>
      </x:c>
      <x:c r="C28" t="str">
        <x:v>Bih</x:v>
      </x:c>
      <x:c r="D28" t="str">
        <x:v>Female</x:v>
      </x:c>
      <x:c r="E28" t="str">
        <x:v>IT</x:v>
      </x:c>
      <x:c r="F28" t="str">
        <x:v>IT Support Officer</x:v>
      </x:c>
      <x:c r="G28" t="str">
        <x:v>Bafoussam Branch</x:v>
      </x:c>
      <x:c r="H28" s="70" t="n">
        <x:v>45114</x:v>
      </x:c>
      <x:c r="I28" s="72" t="n">
        <x:v>720000</x:v>
      </x:c>
      <x:c r="J28" t="str">
        <x:v>david.bih@abcretail.test</x:v>
      </x:c>
      <x:c r="K28" t="str">
        <x:v>+237 674 124 224</x:v>
      </x:c>
      <x:c r="L28" t="str">
        <x:v>Active</x:v>
      </x:c>
    </x:row>
    <x:row r="29" ht="18" customHeight="1">
      <x:c r="A29" t="str">
        <x:v>EMP0025</x:v>
      </x:c>
      <x:c r="B29" t="str">
        <x:v>Esther</x:v>
      </x:c>
      <x:c r="C29" t="str">
        <x:v>Kotto</x:v>
      </x:c>
      <x:c r="D29" t="str">
        <x:v>Male</x:v>
      </x:c>
      <x:c r="E29" t="str">
        <x:v>Sales</x:v>
      </x:c>
      <x:c r="F29" t="str">
        <x:v>Sales Representative</x:v>
      </x:c>
      <x:c r="G29" t="str">
        <x:v>Douala Central</x:v>
      </x:c>
      <x:c r="H29" s="70" t="n">
        <x:v>45137</x:v>
      </x:c>
      <x:c r="I29" s="72" t="n">
        <x:v>420000</x:v>
      </x:c>
      <x:c r="J29" t="str">
        <x:v>esther.kotto@abcretail.test</x:v>
      </x:c>
      <x:c r="K29" t="str">
        <x:v>+237 675 125 225</x:v>
      </x:c>
      <x:c r="L29" t="str">
        <x:v>Active</x:v>
      </x:c>
    </x:row>
    <x:row r="30" ht="18" customHeight="1">
      <x:c r="A30" t="str">
        <x:v>EMP0026</x:v>
      </x:c>
      <x:c r="B30" t="str">
        <x:v>Frank</x:v>
      </x:c>
      <x:c r="C30" t="str">
        <x:v>Sama</x:v>
      </x:c>
      <x:c r="D30" t="str">
        <x:v>Female</x:v>
      </x:c>
      <x:c r="E30" t="str">
        <x:v>Finance</x:v>
      </x:c>
      <x:c r="F30" t="str">
        <x:v>Accountant</x:v>
      </x:c>
      <x:c r="G30" t="str">
        <x:v>Yaounde Central</x:v>
      </x:c>
      <x:c r="H30" s="70" t="n">
        <x:v>45160</x:v>
      </x:c>
      <x:c r="I30" s="72" t="n">
        <x:v>675000</x:v>
      </x:c>
      <x:c r="J30" t="str">
        <x:v>frank.sama@abcretail.test</x:v>
      </x:c>
      <x:c r="K30" t="str">
        <x:v>+237 676 126 226</x:v>
      </x:c>
      <x:c r="L30" t="str">
        <x:v>Active</x:v>
      </x:c>
    </x:row>
    <x:row r="31" ht="18" customHeight="1">
      <x:c r="A31" t="str">
        <x:v>EMP0027</x:v>
      </x:c>
      <x:c r="B31" t="str">
        <x:v>Grace</x:v>
      </x:c>
      <x:c r="C31" t="str">
        <x:v>Manga</x:v>
      </x:c>
      <x:c r="D31" t="str">
        <x:v>Male</x:v>
      </x:c>
      <x:c r="E31" t="str">
        <x:v>Human Resources</x:v>
      </x:c>
      <x:c r="F31" t="str">
        <x:v>HR Officer</x:v>
      </x:c>
      <x:c r="G31" t="str">
        <x:v>Buea Branch</x:v>
      </x:c>
      <x:c r="H31" s="70" t="n">
        <x:v>45183</x:v>
      </x:c>
      <x:c r="I31" s="72" t="n">
        <x:v>570000</x:v>
      </x:c>
      <x:c r="J31" t="str">
        <x:v>grace.manga@abcretail.test</x:v>
      </x:c>
      <x:c r="K31" t="str">
        <x:v>+237 677 127 227</x:v>
      </x:c>
      <x:c r="L31" t="str">
        <x:v>Active</x:v>
      </x:c>
    </x:row>
    <x:row r="32" ht="18" customHeight="1">
      <x:c r="A32" t="str">
        <x:v>EMP0028</x:v>
      </x:c>
      <x:c r="B32" t="str">
        <x:v>Henry</x:v>
      </x:c>
      <x:c r="C32" t="str">
        <x:v>Asong</x:v>
      </x:c>
      <x:c r="D32" t="str">
        <x:v>Female</x:v>
      </x:c>
      <x:c r="E32" t="str">
        <x:v>Marketing</x:v>
      </x:c>
      <x:c r="F32" t="str">
        <x:v>Marketing Officer</x:v>
      </x:c>
      <x:c r="G32" t="str">
        <x:v>Bafoussam Branch</x:v>
      </x:c>
      <x:c r="H32" s="70" t="n">
        <x:v>45206</x:v>
      </x:c>
      <x:c r="I32" s="72" t="n">
        <x:v>625000</x:v>
      </x:c>
      <x:c r="J32" t="str">
        <x:v>henry.asong@abcretail.test</x:v>
      </x:c>
      <x:c r="K32" t="str">
        <x:v>+237 678 128 228</x:v>
      </x:c>
      <x:c r="L32" t="str">
        <x:v>Active</x:v>
      </x:c>
    </x:row>
    <x:row r="33" ht="18" customHeight="1">
      <x:c r="A33" t="str">
        <x:v>EMP0029</x:v>
      </x:c>
      <x:c r="B33" t="str">
        <x:v>Irene</x:v>
      </x:c>
      <x:c r="C33" t="str">
        <x:v>Mbi</x:v>
      </x:c>
      <x:c r="D33" t="str">
        <x:v>Male</x:v>
      </x:c>
      <x:c r="E33" t="str">
        <x:v>Inventory</x:v>
      </x:c>
      <x:c r="F33" t="str">
        <x:v>Storekeeper</x:v>
      </x:c>
      <x:c r="G33" t="str">
        <x:v>Douala Central</x:v>
      </x:c>
      <x:c r="H33" s="70" t="n">
        <x:v>45229</x:v>
      </x:c>
      <x:c r="I33" s="72" t="n">
        <x:v>450000</x:v>
      </x:c>
      <x:c r="J33" t="str">
        <x:v>irene.mbi@abcretail.test</x:v>
      </x:c>
      <x:c r="K33" t="str">
        <x:v>+237 679 129 229</x:v>
      </x:c>
      <x:c r="L33" t="str">
        <x:v>Active</x:v>
      </x:c>
    </x:row>
    <x:row r="34" ht="18" customHeight="1">
      <x:c r="A34" t="str">
        <x:v>EMP0030</x:v>
      </x:c>
      <x:c r="B34" t="str">
        <x:v>Joel</x:v>
      </x:c>
      <x:c r="C34" t="str">
        <x:v>Ngwa</x:v>
      </x:c>
      <x:c r="D34" t="str">
        <x:v>Female</x:v>
      </x:c>
      <x:c r="E34" t="str">
        <x:v>IT</x:v>
      </x:c>
      <x:c r="F34" t="str">
        <x:v>IT Support Officer</x:v>
      </x:c>
      <x:c r="G34" t="str">
        <x:v>Yaounde Central</x:v>
      </x:c>
      <x:c r="H34" s="70" t="n">
        <x:v>45252</x:v>
      </x:c>
      <x:c r="I34" s="72" t="n">
        <x:v>620000</x:v>
      </x:c>
      <x:c r="J34" t="str">
        <x:v>joel.ngwa@abcretail.test</x:v>
      </x:c>
      <x:c r="K34" t="str">
        <x:v>+237 680 130 230</x:v>
      </x:c>
      <x:c r="L34" t="str">
        <x:v>Active</x:v>
      </x:c>
    </x:row>
    <x:row r="35" ht="18" customHeight="1">
      <x:c r="A35" t="str">
        <x:v>EMP0031</x:v>
      </x:c>
      <x:c r="B35" t="str">
        <x:v>Kevin</x:v>
      </x:c>
      <x:c r="C35" t="str">
        <x:v>Njoya</x:v>
      </x:c>
      <x:c r="D35" t="str">
        <x:v>Male</x:v>
      </x:c>
      <x:c r="E35" t="str">
        <x:v>Sales</x:v>
      </x:c>
      <x:c r="F35" t="str">
        <x:v>Sales Representative</x:v>
      </x:c>
      <x:c r="G35" t="str">
        <x:v>Buea Branch</x:v>
      </x:c>
      <x:c r="H35" s="70" t="n">
        <x:v>45275</x:v>
      </x:c>
      <x:c r="I35" s="72" t="n">
        <x:v>445000</x:v>
      </x:c>
      <x:c r="J35" t="str">
        <x:v>kevin.njoya@abcretail.test</x:v>
      </x:c>
      <x:c r="K35" t="str">
        <x:v>+237 681 131 231</x:v>
      </x:c>
      <x:c r="L35" t="str">
        <x:v>Active</x:v>
      </x:c>
    </x:row>
    <x:row r="36" ht="18" customHeight="1">
      <x:c r="A36" t="str">
        <x:v>EMP0032</x:v>
      </x:c>
      <x:c r="B36" t="str">
        <x:v>Linda</x:v>
      </x:c>
      <x:c r="C36" t="str">
        <x:v>Fopa</x:v>
      </x:c>
      <x:c r="D36" t="str">
        <x:v>Female</x:v>
      </x:c>
      <x:c r="E36" t="str">
        <x:v>Finance</x:v>
      </x:c>
      <x:c r="F36" t="str">
        <x:v>Accountant</x:v>
      </x:c>
      <x:c r="G36" t="str">
        <x:v>Bafoussam Branch</x:v>
      </x:c>
      <x:c r="H36" s="70" t="n">
        <x:v>45298</x:v>
      </x:c>
      <x:c r="I36" s="72" t="n">
        <x:v>700000</x:v>
      </x:c>
      <x:c r="J36" t="str">
        <x:v>linda.fopa@abcretail.test</x:v>
      </x:c>
      <x:c r="K36" t="str">
        <x:v>+237 682 132 232</x:v>
      </x:c>
      <x:c r="L36" t="str">
        <x:v>Active</x:v>
      </x:c>
    </x:row>
    <x:row r="37" ht="18" customHeight="1">
      <x:c r="A37" t="str">
        <x:v>EMP0033</x:v>
      </x:c>
      <x:c r="B37" t="str">
        <x:v>Mary</x:v>
      </x:c>
      <x:c r="C37" t="str">
        <x:v>Mboa</x:v>
      </x:c>
      <x:c r="D37" t="str">
        <x:v>Male</x:v>
      </x:c>
      <x:c r="E37" t="str">
        <x:v>Human Resources</x:v>
      </x:c>
      <x:c r="F37" t="str">
        <x:v>HR Officer</x:v>
      </x:c>
      <x:c r="G37" t="str">
        <x:v>Douala Central</x:v>
      </x:c>
      <x:c r="H37" s="70" t="n">
        <x:v>45321</x:v>
      </x:c>
      <x:c r="I37" s="72" t="n">
        <x:v>595000</x:v>
      </x:c>
      <x:c r="J37" t="str">
        <x:v>mary.mboa@abcretail.test</x:v>
      </x:c>
      <x:c r="K37" t="str">
        <x:v>+237 683 133 233</x:v>
      </x:c>
      <x:c r="L37" t="str">
        <x:v>Active</x:v>
      </x:c>
    </x:row>
    <x:row r="38" ht="18" customHeight="1">
      <x:c r="A38" t="str">
        <x:v>EMP0034</x:v>
      </x:c>
      <x:c r="B38" t="str">
        <x:v>Nadine</x:v>
      </x:c>
      <x:c r="C38" t="str">
        <x:v>Tambe</x:v>
      </x:c>
      <x:c r="D38" t="str">
        <x:v>Female</x:v>
      </x:c>
      <x:c r="E38" t="str">
        <x:v>Marketing</x:v>
      </x:c>
      <x:c r="F38" t="str">
        <x:v>Marketing Officer</x:v>
      </x:c>
      <x:c r="G38" t="str">
        <x:v>Yaounde Central</x:v>
      </x:c>
      <x:c r="H38" s="70" t="n">
        <x:v>45344</x:v>
      </x:c>
      <x:c r="I38" s="72" t="n">
        <x:v>650000</x:v>
      </x:c>
      <x:c r="J38" t="str">
        <x:v>nadine.tambe@abcretail.test</x:v>
      </x:c>
      <x:c r="K38" t="str">
        <x:v>+237 684 134 234</x:v>
      </x:c>
      <x:c r="L38" t="str">
        <x:v>Active</x:v>
      </x:c>
    </x:row>
    <x:row r="39" ht="18" customHeight="1">
      <x:c r="A39" t="str">
        <x:v>EMP0035</x:v>
      </x:c>
      <x:c r="B39" t="str">
        <x:v>Oscar</x:v>
      </x:c>
      <x:c r="C39" t="str">
        <x:v>Fru</x:v>
      </x:c>
      <x:c r="D39" t="str">
        <x:v>Male</x:v>
      </x:c>
      <x:c r="E39" t="str">
        <x:v>Inventory</x:v>
      </x:c>
      <x:c r="F39" t="str">
        <x:v>Storekeeper</x:v>
      </x:c>
      <x:c r="G39" t="str">
        <x:v>Buea Branch</x:v>
      </x:c>
      <x:c r="H39" s="70" t="n">
        <x:v>45367</x:v>
      </x:c>
      <x:c r="I39" s="72" t="n">
        <x:v>350000</x:v>
      </x:c>
      <x:c r="J39" t="str">
        <x:v>oscar.fru@abcretail.test</x:v>
      </x:c>
      <x:c r="K39" t="str">
        <x:v>+237 685 135 235</x:v>
      </x:c>
      <x:c r="L39" t="str">
        <x:v>Active</x:v>
      </x:c>
    </x:row>
    <x:row r="40" ht="18" customHeight="1">
      <x:c r="A40" t="str">
        <x:v>EMP0036</x:v>
      </x:c>
      <x:c r="B40" t="str">
        <x:v>Patricia</x:v>
      </x:c>
      <x:c r="C40" t="str">
        <x:v>Talla</x:v>
      </x:c>
      <x:c r="D40" t="str">
        <x:v>Female</x:v>
      </x:c>
      <x:c r="E40" t="str">
        <x:v>IT</x:v>
      </x:c>
      <x:c r="F40" t="str">
        <x:v>IT Support Officer</x:v>
      </x:c>
      <x:c r="G40" t="str">
        <x:v>Bafoussam Branch</x:v>
      </x:c>
      <x:c r="H40" s="70" t="n">
        <x:v>45390</x:v>
      </x:c>
      <x:c r="I40" s="72" t="n">
        <x:v>645000</x:v>
      </x:c>
      <x:c r="J40" t="str">
        <x:v>patricia.talla@abcretail.test</x:v>
      </x:c>
      <x:c r="K40" t="str">
        <x:v>+237 686 136 236</x:v>
      </x:c>
      <x:c r="L40" t="str">
        <x:v>Active</x:v>
      </x:c>
    </x:row>
    <x:row r="41" ht="18" customHeight="1">
      <x:c r="A41" t="str">
        <x:v>EMP0037</x:v>
      </x:c>
      <x:c r="B41" t="str">
        <x:v>Quentin</x:v>
      </x:c>
      <x:c r="C41" t="str">
        <x:v>Mafor</x:v>
      </x:c>
      <x:c r="D41" t="str">
        <x:v>Male</x:v>
      </x:c>
      <x:c r="E41" t="str">
        <x:v>Sales</x:v>
      </x:c>
      <x:c r="F41" t="str">
        <x:v>Sales Representative</x:v>
      </x:c>
      <x:c r="G41" t="str">
        <x:v>Douala Central</x:v>
      </x:c>
      <x:c r="H41" s="70" t="n">
        <x:v>45413</x:v>
      </x:c>
      <x:c r="I41" s="72" t="n">
        <x:v>470000</x:v>
      </x:c>
      <x:c r="J41" t="str">
        <x:v>quentin.mafor@abcretail.test</x:v>
      </x:c>
      <x:c r="K41" t="str">
        <x:v>+237 687 137 237</x:v>
      </x:c>
      <x:c r="L41" t="str">
        <x:v>Active</x:v>
      </x:c>
    </x:row>
    <x:row r="42" ht="18" customHeight="1">
      <x:c r="A42" t="str">
        <x:v>EMP0038</x:v>
      </x:c>
      <x:c r="B42" t="str">
        <x:v>Rose</x:v>
      </x:c>
      <x:c r="C42" t="str">
        <x:v>Atem</x:v>
      </x:c>
      <x:c r="D42" t="str">
        <x:v>Female</x:v>
      </x:c>
      <x:c r="E42" t="str">
        <x:v>Finance</x:v>
      </x:c>
      <x:c r="F42" t="str">
        <x:v>Accountant</x:v>
      </x:c>
      <x:c r="G42" t="str">
        <x:v>Yaounde Central</x:v>
      </x:c>
      <x:c r="H42" s="70" t="n">
        <x:v>45436</x:v>
      </x:c>
      <x:c r="I42" s="72" t="n">
        <x:v>725000</x:v>
      </x:c>
      <x:c r="J42" t="str">
        <x:v>rose.atem@abcretail.test</x:v>
      </x:c>
      <x:c r="K42" t="str">
        <x:v>+237 688 138 238</x:v>
      </x:c>
      <x:c r="L42" t="str">
        <x:v>Active</x:v>
      </x:c>
    </x:row>
    <x:row r="43" ht="18" customHeight="1">
      <x:c r="A43" t="str">
        <x:v>EMP0039</x:v>
      </x:c>
      <x:c r="B43" t="str">
        <x:v>Samuel</x:v>
      </x:c>
      <x:c r="C43" t="str">
        <x:v>Ndongo</x:v>
      </x:c>
      <x:c r="D43" t="str">
        <x:v>Male</x:v>
      </x:c>
      <x:c r="E43" t="str">
        <x:v>Human Resources</x:v>
      </x:c>
      <x:c r="F43" t="str">
        <x:v>HR Officer</x:v>
      </x:c>
      <x:c r="G43" t="str">
        <x:v>Buea Branch</x:v>
      </x:c>
      <x:c r="H43" s="70" t="n">
        <x:v>45459</x:v>
      </x:c>
      <x:c r="I43" s="72" t="n">
        <x:v>620000</x:v>
      </x:c>
      <x:c r="J43" t="str">
        <x:v>samuel.ndongo@abcretail.test</x:v>
      </x:c>
      <x:c r="K43" t="str">
        <x:v>+237 689 139 239</x:v>
      </x:c>
      <x:c r="L43" t="str">
        <x:v>Active</x:v>
      </x:c>
    </x:row>
    <x:row r="44" ht="18" customHeight="1">
      <x:c r="A44" t="str">
        <x:v>EMP0040</x:v>
      </x:c>
      <x:c r="B44" t="str">
        <x:v>Yvette</x:v>
      </x:c>
      <x:c r="C44" t="str">
        <x:v>Etoa</x:v>
      </x:c>
      <x:c r="D44" t="str">
        <x:v>Female</x:v>
      </x:c>
      <x:c r="E44" t="str">
        <x:v>Marketing</x:v>
      </x:c>
      <x:c r="F44" t="str">
        <x:v>Marketing Officer</x:v>
      </x:c>
      <x:c r="G44" t="str">
        <x:v>Bafoussam Branch</x:v>
      </x:c>
      <x:c r="H44" s="70" t="n">
        <x:v>45482</x:v>
      </x:c>
      <x:c r="I44" s="72" t="n">
        <x:v>550000</x:v>
      </x:c>
      <x:c r="J44" t="str">
        <x:v>yvette.etoa@abcretail.test</x:v>
      </x:c>
      <x:c r="K44" t="str">
        <x:v>+237 670 140 240</x:v>
      </x:c>
      <x:c r="L44" t="str">
        <x:v>Active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3cd7e868390941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25" hidden="0" customWidth="1"/>
    <x:col min="3" max="3" width="11" hidden="0" customWidth="1"/>
    <x:col min="4" max="4" width="8.75" hidden="0" customWidth="1"/>
    <x:col min="5" max="5" width="20" hidden="0" customWidth="1"/>
    <x:col min="6" max="6" width="24" hidden="0" customWidth="1"/>
    <x:col min="7" max="7" width="20" hidden="0" customWidth="1"/>
    <x:col min="8" max="8" width="10.25" hidden="0" customWidth="1"/>
    <x:col min="9" max="9" width="19.1299991607666" hidden="0" customWidth="1"/>
    <x:col min="10" max="10" width="30" hidden="0" customWidth="1"/>
    <x:col min="11" max="11" width="20" hidden="0" customWidth="1"/>
    <x:col min="12" max="12" width="7.75" hidden="0" customWidth="1"/>
  </x:cols>
  <x:sheetData>
    <x:row r="1" ht="30" customHeight="1">
      <x:c r="A1" s="5" t="str">
        <x:v>Employees — Messy Practice Data</x:v>
      </x:c>
    </x:row>
    <x:row r="3">
      <x:c r="A3" s="82" t="str">
        <x:v>INTENTIONALLY MESSY DATASET — FOR CLEANING PRACTICE</x:v>
      </x:c>
    </x:row>
    <x:row r="4">
      <x:c r="A4" s="51" t="str">
        <x:v>Employee ID</x:v>
      </x:c>
      <x:c r="B4" s="52" t="str">
        <x:v>First Name</x:v>
      </x:c>
      <x:c r="C4" s="52" t="str">
        <x:v>Last Name</x:v>
      </x:c>
      <x:c r="D4" s="52" t="str">
        <x:v>Gender</x:v>
      </x:c>
      <x:c r="E4" s="52" t="str">
        <x:v>Department</x:v>
      </x:c>
      <x:c r="F4" s="52" t="str">
        <x:v>Position</x:v>
      </x:c>
      <x:c r="G4" s="52" t="str">
        <x:v>Branch</x:v>
      </x:c>
      <x:c r="H4" s="52" t="str">
        <x:v>Hire Date</x:v>
      </x:c>
      <x:c r="I4" s="52" t="str">
        <x:v>Monthly Salary (XAF)</x:v>
      </x:c>
      <x:c r="J4" s="52" t="str">
        <x:v>Email</x:v>
      </x:c>
      <x:c r="K4" s="52" t="str">
        <x:v>Phone</x:v>
      </x:c>
      <x:c r="L4" s="53" t="str">
        <x:v>Status</x:v>
      </x:c>
    </x:row>
    <x:row r="5" ht="18" customHeight="1">
      <x:c r="A5" t="str">
        <x:v>EMP0001</x:v>
      </x:c>
      <x:c r="B5" t="str">
        <x:v>Aline</x:v>
      </x:c>
      <x:c r="C5" t="str">
        <x:v>Nkem</x:v>
      </x:c>
      <x:c r="D5" t="str">
        <x:v>Male</x:v>
      </x:c>
      <x:c r="E5" t="str">
        <x:v>Sales</x:v>
      </x:c>
      <x:c r="F5" t="str">
        <x:v>Sales Representative</x:v>
      </x:c>
      <x:c r="G5" t="str">
        <x:v>Douala Central</x:v>
      </x:c>
      <x:c r="H5" t="n">
        <x:v>44585</x:v>
      </x:c>
      <x:c r="I5" s="72" t="n">
        <x:v>445000</x:v>
      </x:c>
      <x:c r="J5" t="str">
        <x:v>aline.nkem@abcretail.test</x:v>
      </x:c>
      <x:c r="K5" t="str">
        <x:v>+237 671 101 201</x:v>
      </x:c>
      <x:c r="L5" t="str">
        <x:v>Active</x:v>
      </x:c>
    </x:row>
    <x:row r="6" ht="18" customHeight="1">
      <x:c r="A6" t="str">
        <x:v>EMP0002</x:v>
      </x:c>
      <x:c r="B6" t="str">
        <x:v>Boris</x:v>
      </x:c>
      <x:c r="C6" t="str">
        <x:v>Ewane</x:v>
      </x:c>
      <x:c r="D6" t="str">
        <x:v>Female</x:v>
      </x:c>
      <x:c r="E6" t="str">
        <x:v>Finance</x:v>
      </x:c>
      <x:c r="F6" t="str">
        <x:v>Accountant</x:v>
      </x:c>
      <x:c r="G6" t="str">
        <x:v>Yaounde Central</x:v>
      </x:c>
      <x:c r="H6" t="n">
        <x:v>44608</x:v>
      </x:c>
      <x:c r="I6" s="72" t="n">
        <x:v>700000</x:v>
      </x:c>
      <x:c r="J6" t="str">
        <x:v>boris.ewane@abcretail.test</x:v>
      </x:c>
      <x:c r="K6" t="str">
        <x:v>+237 672 102 202</x:v>
      </x:c>
      <x:c r="L6" t="str">
        <x:v>Active</x:v>
      </x:c>
    </x:row>
    <x:row r="7" ht="18" customHeight="1">
      <x:c r="A7" t="str">
        <x:v>EMP0003</x:v>
      </x:c>
      <x:c r="B7" t="str">
        <x:v>  claudine </x:v>
      </x:c>
      <x:c r="C7" t="str">
        <x:v>Fotso</x:v>
      </x:c>
      <x:c r="D7" t="str">
        <x:v>Male</x:v>
      </x:c>
      <x:c r="E7" t="str">
        <x:v>Human Resources</x:v>
      </x:c>
      <x:c r="F7" t="str">
        <x:v>HR Officer</x:v>
      </x:c>
      <x:c r="G7" t="str">
        <x:v>Buea Branch</x:v>
      </x:c>
      <x:c r="H7" t="n">
        <x:v>44631</x:v>
      </x:c>
      <x:c r="I7" s="72" t="n">
        <x:v>595000</x:v>
      </x:c>
      <x:c r="J7" t="str">
        <x:v>claudine.fotso@abcretail.test</x:v>
      </x:c>
      <x:c r="K7" t="str">
        <x:v>+237 673 103 203</x:v>
      </x:c>
      <x:c r="L7" t="str">
        <x:v>Active</x:v>
      </x:c>
    </x:row>
    <x:row r="8" ht="18" customHeight="1">
      <x:c r="A8" t="str">
        <x:v>EMP0004</x:v>
      </x:c>
      <x:c r="B8" t="str">
        <x:v>David</x:v>
      </x:c>
      <x:c r="C8" t="str">
        <x:v>Bih</x:v>
      </x:c>
      <x:c r="D8" t="str">
        <x:v>Female</x:v>
      </x:c>
      <x:c r="E8" t="str">
        <x:v>Marketing</x:v>
      </x:c>
      <x:c r="F8" t="str">
        <x:v>Marketing Officer</x:v>
      </x:c>
      <x:c r="G8" t="str">
        <x:v>Bafoussam Branch</x:v>
      </x:c>
      <x:c r="H8" t="n">
        <x:v>44654</x:v>
      </x:c>
      <x:c r="I8" s="72" t="n">
        <x:v>650000</x:v>
      </x:c>
      <x:c r="J8" t="str">
        <x:v>david.bih@abcretail.test</x:v>
      </x:c>
      <x:c r="K8" t="str">
        <x:v>+237 674 104 204</x:v>
      </x:c>
      <x:c r="L8" t="str">
        <x:v>Active</x:v>
      </x:c>
    </x:row>
    <x:row r="9" ht="18" customHeight="1">
      <x:c r="A9" t="str">
        <x:v>EMP0005</x:v>
      </x:c>
      <x:c r="B9" t="str">
        <x:v>Esther</x:v>
      </x:c>
      <x:c r="C9" t="str">
        <x:v>Kotto</x:v>
      </x:c>
      <x:c r="D9" t="str">
        <x:v>Male</x:v>
      </x:c>
      <x:c r="E9" t="str">
        <x:v>Inventory</x:v>
      </x:c>
      <x:c r="F9" t="str">
        <x:v>Storekeeper</x:v>
      </x:c>
      <x:c r="G9" t="str">
        <x:v>Douala Central</x:v>
      </x:c>
      <x:c r="H9" t="n">
        <x:v>44677</x:v>
      </x:c>
      <x:c r="I9" s="72" t="n">
        <x:v>350000</x:v>
      </x:c>
      <x:c r="J9" t="str">
        <x:v>esther.kotto@abcretail.test</x:v>
      </x:c>
      <x:c r="K9" t="str">
        <x:v>+237 675 105 205</x:v>
      </x:c>
      <x:c r="L9" t="str">
        <x:v>Active</x:v>
      </x:c>
    </x:row>
    <x:row r="10" ht="18" customHeight="1">
      <x:c r="A10" t="str">
        <x:v>EMP0006</x:v>
      </x:c>
      <x:c r="B10" t="str">
        <x:v>Frank</x:v>
      </x:c>
      <x:c r="C10" t="str">
        <x:v>EWANE</x:v>
      </x:c>
      <x:c r="D10" t="str">
        <x:v>Female</x:v>
      </x:c>
      <x:c r="E10" t="str">
        <x:v>IT</x:v>
      </x:c>
      <x:c r="F10" t="str">
        <x:v>IT Support Officer</x:v>
      </x:c>
      <x:c r="G10" t="str">
        <x:v>Yaounde Central</x:v>
      </x:c>
      <x:c r="H10" t="n">
        <x:v>44700</x:v>
      </x:c>
      <x:c r="I10" s="72" t="n">
        <x:v>645000</x:v>
      </x:c>
      <x:c r="J10" t="str">
        <x:v>frank.sama@abcretail.test</x:v>
      </x:c>
      <x:c r="K10" t="str">
        <x:v>+237 676 106 206</x:v>
      </x:c>
      <x:c r="L10" t="str">
        <x:v>Active</x:v>
      </x:c>
    </x:row>
    <x:row r="11" ht="18" customHeight="1">
      <x:c r="A11" t="str">
        <x:v>EMP0007</x:v>
      </x:c>
      <x:c r="B11" t="str">
        <x:v>Grace</x:v>
      </x:c>
      <x:c r="C11" t="str">
        <x:v>Manga</x:v>
      </x:c>
      <x:c r="D11" t="str">
        <x:v>Male</x:v>
      </x:c>
      <x:c r="E11" t="str">
        <x:v>Sales</x:v>
      </x:c>
      <x:c r="F11" t="str">
        <x:v>Sales Representative</x:v>
      </x:c>
      <x:c r="G11" t="str">
        <x:v>Buea Branch</x:v>
      </x:c>
      <x:c r="H11" t="n">
        <x:v>44723</x:v>
      </x:c>
      <x:c r="I11" s="72" t="n">
        <x:v>470000</x:v>
      </x:c>
      <x:c r="J11" t="str">
        <x:v>grace.manga@abcretail.test</x:v>
      </x:c>
      <x:c r="K11" t="str">
        <x:v>+237 677 107 207</x:v>
      </x:c>
      <x:c r="L11" t="str">
        <x:v>Active</x:v>
      </x:c>
    </x:row>
    <x:row r="12" ht="18" customHeight="1">
      <x:c r="A12" t="str">
        <x:v>EMP0008</x:v>
      </x:c>
      <x:c r="B12" t="str">
        <x:v>Henry</x:v>
      </x:c>
      <x:c r="C12" t="str">
        <x:v>Asong</x:v>
      </x:c>
      <x:c r="D12" t="str">
        <x:v>M</x:v>
      </x:c>
      <x:c r="E12" t="str">
        <x:v>Finance</x:v>
      </x:c>
      <x:c r="F12" t="str">
        <x:v>Accountant</x:v>
      </x:c>
      <x:c r="G12" t="str">
        <x:v>Bafoussam Branch</x:v>
      </x:c>
      <x:c r="H12" t="n">
        <x:v>44746</x:v>
      </x:c>
      <x:c r="I12" s="72" t="n">
        <x:v>725000</x:v>
      </x:c>
      <x:c r="J12" t="str">
        <x:v>henry.asong@abcretail.test</x:v>
      </x:c>
      <x:c r="K12" t="str">
        <x:v>+237 678 108 208</x:v>
      </x:c>
      <x:c r="L12" t="str">
        <x:v>Active</x:v>
      </x:c>
    </x:row>
    <x:row r="13" ht="18" customHeight="1">
      <x:c r="A13" t="str">
        <x:v>EMP0009</x:v>
      </x:c>
      <x:c r="B13" t="str">
        <x:v>Irene</x:v>
      </x:c>
      <x:c r="C13" t="str">
        <x:v>Mbi</x:v>
      </x:c>
      <x:c r="D13" t="str">
        <x:v>Male</x:v>
      </x:c>
      <x:c r="E13" t="str">
        <x:v>Human Resources</x:v>
      </x:c>
      <x:c r="F13" t="str">
        <x:v>HR Officer</x:v>
      </x:c>
      <x:c r="G13" t="str">
        <x:v>Douala Central</x:v>
      </x:c>
      <x:c r="H13" t="n">
        <x:v>44769</x:v>
      </x:c>
      <x:c r="I13" s="72" t="n">
        <x:v>620000</x:v>
      </x:c>
      <x:c r="J13" t="str">
        <x:v>irene.mbi@abcretail.test</x:v>
      </x:c>
      <x:c r="K13" t="str">
        <x:v>+237 679 109 209</x:v>
      </x:c>
      <x:c r="L13" t="str">
        <x:v>Active</x:v>
      </x:c>
    </x:row>
    <x:row r="14" ht="18" customHeight="1">
      <x:c r="A14" t="str">
        <x:v>EMP0010</x:v>
      </x:c>
      <x:c r="B14" t="str">
        <x:v>Joel</x:v>
      </x:c>
      <x:c r="C14" t="str">
        <x:v>Ngwa</x:v>
      </x:c>
      <x:c r="D14" t="str">
        <x:v>Female</x:v>
      </x:c>
      <x:c r="E14" t="str">
        <x:v>human resources</x:v>
      </x:c>
      <x:c r="F14" t="str">
        <x:v>Marketing Officer</x:v>
      </x:c>
      <x:c r="G14" t="str">
        <x:v>Yaounde Central</x:v>
      </x:c>
      <x:c r="H14" t="n">
        <x:v>44792</x:v>
      </x:c>
      <x:c r="I14" s="72" t="n">
        <x:v>550000</x:v>
      </x:c>
      <x:c r="J14" t="str">
        <x:v>joel.ngwa@abcretail.test</x:v>
      </x:c>
      <x:c r="K14" t="str">
        <x:v>+237 680 110 210</x:v>
      </x:c>
      <x:c r="L14" t="str">
        <x:v>Active</x:v>
      </x:c>
    </x:row>
    <x:row r="15" ht="18" customHeight="1">
      <x:c r="A15" t="str">
        <x:v>EMP0011</x:v>
      </x:c>
      <x:c r="B15" t="str">
        <x:v>Kevin</x:v>
      </x:c>
      <x:c r="C15" t="str">
        <x:v>Njoya</x:v>
      </x:c>
      <x:c r="D15" t="str">
        <x:v>Male</x:v>
      </x:c>
      <x:c r="E15" t="str">
        <x:v>Inventory</x:v>
      </x:c>
      <x:c r="F15" t="str">
        <x:v>Storekeeper</x:v>
      </x:c>
      <x:c r="G15" t="str">
        <x:v>Buea Branch</x:v>
      </x:c>
      <x:c r="H15" t="n">
        <x:v>44815</x:v>
      </x:c>
      <x:c r="I15" s="72" t="n">
        <x:v>375000</x:v>
      </x:c>
      <x:c r="J15" t="str">
        <x:v>kevin.njoya@abcretail.test</x:v>
      </x:c>
      <x:c r="K15" t="str">
        <x:v>+237 681 111 211</x:v>
      </x:c>
      <x:c r="L15" t="str">
        <x:v>Active</x:v>
      </x:c>
    </x:row>
    <x:row r="16" ht="18" customHeight="1">
      <x:c r="A16" t="str">
        <x:v>EMP0012</x:v>
      </x:c>
      <x:c r="B16" t="str">
        <x:v>Linda</x:v>
      </x:c>
      <x:c r="C16" t="str">
        <x:v>Fopa</x:v>
      </x:c>
      <x:c r="D16" t="str">
        <x:v>Female</x:v>
      </x:c>
      <x:c r="E16" t="str">
        <x:v>IT</x:v>
      </x:c>
      <x:c r="F16" t="str">
        <x:v>IT Support Officer</x:v>
      </x:c>
      <x:c r="G16" t="str">
        <x:v>Douala central </x:v>
      </x:c>
      <x:c r="H16" t="n">
        <x:v>44838</x:v>
      </x:c>
      <x:c r="I16" s="72" t="n">
        <x:v>670000</x:v>
      </x:c>
      <x:c r="J16" t="str">
        <x:v>linda.fopa@abcretail.test</x:v>
      </x:c>
      <x:c r="K16" t="str">
        <x:v>+237 682 112 212</x:v>
      </x:c>
      <x:c r="L16" t="str">
        <x:v>Active</x:v>
      </x:c>
    </x:row>
    <x:row r="17" ht="18" customHeight="1">
      <x:c r="A17" t="str">
        <x:v>EMP0013</x:v>
      </x:c>
      <x:c r="B17" t="str">
        <x:v>Mary</x:v>
      </x:c>
      <x:c r="C17" t="str">
        <x:v>Mboa</x:v>
      </x:c>
      <x:c r="D17" t="str">
        <x:v>Male</x:v>
      </x:c>
      <x:c r="E17" t="str">
        <x:v>Sales</x:v>
      </x:c>
      <x:c r="F17" t="str">
        <x:v>Sales Representative</x:v>
      </x:c>
      <x:c r="G17" t="str">
        <x:v>Douala Central</x:v>
      </x:c>
      <x:c r="H17" t="n">
        <x:v>44861</x:v>
      </x:c>
      <x:c r="I17" s="72" t="n">
        <x:v>495000</x:v>
      </x:c>
      <x:c r="J17" t="str">
        <x:v>mary.mboa@abcretail.test</x:v>
      </x:c>
      <x:c r="K17" t="str">
        <x:v>+237 683 113 213</x:v>
      </x:c>
      <x:c r="L17" t="str">
        <x:v>Active</x:v>
      </x:c>
    </x:row>
    <x:row r="18" ht="18" customHeight="1">
      <x:c r="A18" t="str">
        <x:v>EMP0014</x:v>
      </x:c>
      <x:c r="B18" t="str">
        <x:v>Nadine</x:v>
      </x:c>
      <x:c r="C18" t="str">
        <x:v>Tambe</x:v>
      </x:c>
      <x:c r="D18" t="str">
        <x:v>Female</x:v>
      </x:c>
      <x:c r="E18" t="str">
        <x:v>Finance</x:v>
      </x:c>
      <x:c r="F18" t="str">
        <x:v>Accountant</x:v>
      </x:c>
      <x:c r="G18" t="str">
        <x:v>Yaounde Central</x:v>
      </x:c>
      <x:c r="H18" t="n">
        <x:v>44884</x:v>
      </x:c>
      <x:c r="I18" s="72" t="n">
        <x:v>750000</x:v>
      </x:c>
      <x:c r="J18" t="str">
        <x:v>nadine.tambe@abcretail.test</x:v>
      </x:c>
      <x:c r="K18" t="str">
        <x:v>+237 684 114 214</x:v>
      </x:c>
      <x:c r="L18" t="str">
        <x:v>Active</x:v>
      </x:c>
    </x:row>
    <x:row r="19" ht="18" customHeight="1">
      <x:c r="A19" t="str">
        <x:v>EMP0015</x:v>
      </x:c>
      <x:c r="B19" t="str">
        <x:v>Oscar</x:v>
      </x:c>
      <x:c r="C19" t="str">
        <x:v>Fru</x:v>
      </x:c>
      <x:c r="D19" t="str">
        <x:v>Male</x:v>
      </x:c>
      <x:c r="E19" t="str">
        <x:v>Human Resources</x:v>
      </x:c>
      <x:c r="F19" t="str">
        <x:v>HR Officer</x:v>
      </x:c>
      <x:c r="G19" t="str">
        <x:v>Buea Branch</x:v>
      </x:c>
      <x:c r="H19" t="str">
        <x:v>15/02/24</x:v>
      </x:c>
      <x:c r="I19" s="72" t="n">
        <x:v>520000</x:v>
      </x:c>
      <x:c r="J19" t="str">
        <x:v>oscar.fru@abcretail.test</x:v>
      </x:c>
      <x:c r="K19" t="str">
        <x:v>+237 685 115 215</x:v>
      </x:c>
      <x:c r="L19" t="str">
        <x:v>Active</x:v>
      </x:c>
    </x:row>
    <x:row r="20" ht="18" customHeight="1">
      <x:c r="A20" t="str">
        <x:v>EMP0016</x:v>
      </x:c>
      <x:c r="B20" t="str">
        <x:v>Patricia</x:v>
      </x:c>
      <x:c r="C20" t="str">
        <x:v>Talla</x:v>
      </x:c>
      <x:c r="D20" t="str">
        <x:v>Female</x:v>
      </x:c>
      <x:c r="E20" t="str">
        <x:v>Marketing</x:v>
      </x:c>
      <x:c r="F20" t="str">
        <x:v>Marketing Officer</x:v>
      </x:c>
      <x:c r="G20" t="str">
        <x:v>Bafoussam Branch</x:v>
      </x:c>
      <x:c r="H20" t="n">
        <x:v>44930</x:v>
      </x:c>
      <x:c r="I20" s="72" t="n">
        <x:v>575000</x:v>
      </x:c>
      <x:c r="J20" t="str">
        <x:v>patricia.talla@abcretail.test</x:v>
      </x:c>
      <x:c r="K20" t="str">
        <x:v>+237 686 116 216</x:v>
      </x:c>
      <x:c r="L20" t="str">
        <x:v>Active</x:v>
      </x:c>
    </x:row>
    <x:row r="21" ht="18" customHeight="1">
      <x:c r="A21" t="str">
        <x:v>EMP0017</x:v>
      </x:c>
      <x:c r="B21" t="str">
        <x:v>Quentin</x:v>
      </x:c>
      <x:c r="C21" t="str">
        <x:v>Mafor</x:v>
      </x:c>
      <x:c r="D21" t="str">
        <x:v>Male</x:v>
      </x:c>
      <x:c r="E21" t="str">
        <x:v>Inventory</x:v>
      </x:c>
      <x:c r="F21" t="str">
        <x:v>Storekeeper</x:v>
      </x:c>
      <x:c r="G21" t="str">
        <x:v>Douala Central</x:v>
      </x:c>
      <x:c r="H21" t="n">
        <x:v>44953</x:v>
      </x:c>
      <x:c r="I21" s="72"/>
      <x:c r="J21" t="str">
        <x:v>quentin.mafor@abcretail.test</x:v>
      </x:c>
      <x:c r="K21" t="str">
        <x:v>+237 687 117 217</x:v>
      </x:c>
      <x:c r="L21" t="str">
        <x:v>Active</x:v>
      </x:c>
    </x:row>
    <x:row r="22" ht="18" customHeight="1">
      <x:c r="A22" t="str">
        <x:v>EMP0018</x:v>
      </x:c>
      <x:c r="B22" t="str">
        <x:v>Rose</x:v>
      </x:c>
      <x:c r="C22" t="str">
        <x:v>Atem</x:v>
      </x:c>
      <x:c r="D22" t="str">
        <x:v>Female</x:v>
      </x:c>
      <x:c r="E22" t="str">
        <x:v>IT</x:v>
      </x:c>
      <x:c r="F22" t="str">
        <x:v>IT Support Officer</x:v>
      </x:c>
      <x:c r="G22" t="str">
        <x:v>Yaounde Central</x:v>
      </x:c>
      <x:c r="H22" t="n">
        <x:v>44976</x:v>
      </x:c>
      <x:c r="I22" s="72" t="n">
        <x:v>695000</x:v>
      </x:c>
      <x:c r="J22" t="str">
        <x:v>rose.atem@abcretail.test</x:v>
      </x:c>
      <x:c r="K22" t="str">
        <x:v>+237 688 118 218</x:v>
      </x:c>
      <x:c r="L22" t="str">
        <x:v>Active</x:v>
      </x:c>
    </x:row>
    <x:row r="23" ht="18" customHeight="1">
      <x:c r="A23" t="str">
        <x:v>EMP0019</x:v>
      </x:c>
      <x:c r="B23" t="str">
        <x:v>Samuel</x:v>
      </x:c>
      <x:c r="C23" t="str">
        <x:v>Ndongo</x:v>
      </x:c>
      <x:c r="D23" t="str">
        <x:v>Male</x:v>
      </x:c>
      <x:c r="E23" t="str">
        <x:v>Sales</x:v>
      </x:c>
      <x:c r="F23" t="str">
        <x:v>Sales Representative</x:v>
      </x:c>
      <x:c r="G23" t="str">
        <x:v>Buea Branch</x:v>
      </x:c>
      <x:c r="H23" t="n">
        <x:v>44999</x:v>
      </x:c>
      <x:c r="I23" s="72" t="n">
        <x:v>520000</x:v>
      </x:c>
      <x:c r="J23" t="str">
        <x:v>invalid-email</x:v>
      </x:c>
      <x:c r="K23" t="str">
        <x:v>+237 689 119 219</x:v>
      </x:c>
      <x:c r="L23" t="str">
        <x:v>Active</x:v>
      </x:c>
    </x:row>
    <x:row r="24" ht="18" customHeight="1">
      <x:c r="A24" t="str">
        <x:v>EMP0020</x:v>
      </x:c>
      <x:c r="B24" t="str">
        <x:v>Yvette</x:v>
      </x:c>
      <x:c r="C24" t="str">
        <x:v>Etoa</x:v>
      </x:c>
      <x:c r="D24" t="str">
        <x:v>Female</x:v>
      </x:c>
      <x:c r="E24" t="str">
        <x:v>Finance</x:v>
      </x:c>
      <x:c r="F24" t="str">
        <x:v>Accountant</x:v>
      </x:c>
      <x:c r="G24" t="str">
        <x:v>Bafoussam Branch</x:v>
      </x:c>
      <x:c r="H24" t="n">
        <x:v>45022</x:v>
      </x:c>
      <x:c r="I24" s="72" t="n">
        <x:v>650000</x:v>
      </x:c>
      <x:c r="J24" t="str">
        <x:v>yvette.etoa@abcretail.test</x:v>
      </x:c>
      <x:c r="K24" t="str">
        <x:v>+237 670 120 220</x:v>
      </x:c>
      <x:c r="L24" t="str">
        <x:v>Active</x:v>
      </x:c>
    </x:row>
    <x:row r="25" ht="18" customHeight="1">
      <x:c r="A25" t="str">
        <x:v>EMP0021</x:v>
      </x:c>
      <x:c r="B25" t="str">
        <x:v>Aline</x:v>
      </x:c>
      <x:c r="C25" t="str">
        <x:v>Nkem</x:v>
      </x:c>
      <x:c r="D25" t="str">
        <x:v>Male</x:v>
      </x:c>
      <x:c r="E25" t="str">
        <x:v>Human Resources</x:v>
      </x:c>
      <x:c r="F25" t="str">
        <x:v>HR Officer</x:v>
      </x:c>
      <x:c r="G25" t="str">
        <x:v>Douala Central</x:v>
      </x:c>
      <x:c r="H25" t="n">
        <x:v>45045</x:v>
      </x:c>
      <x:c r="I25" s="72" t="n">
        <x:v>545000</x:v>
      </x:c>
      <x:c r="J25" t="str">
        <x:v>aline.nkem@abcretail.test</x:v>
      </x:c>
      <x:c r="K25" t="str">
        <x:v>677001122</x:v>
      </x:c>
      <x:c r="L25" t="str">
        <x:v>Active</x:v>
      </x:c>
    </x:row>
    <x:row r="26" ht="18" customHeight="1">
      <x:c r="A26" t="str">
        <x:v>EMP0022</x:v>
      </x:c>
      <x:c r="B26" t="str">
        <x:v>Boris</x:v>
      </x:c>
      <x:c r="C26" t="str">
        <x:v>Ewane</x:v>
      </x:c>
      <x:c r="D26" t="str">
        <x:v>Female</x:v>
      </x:c>
      <x:c r="E26" t="str">
        <x:v>Marketing</x:v>
      </x:c>
      <x:c r="F26" t="str">
        <x:v>Marketing Officer</x:v>
      </x:c>
      <x:c r="G26" t="str">
        <x:v>Yaounde Central</x:v>
      </x:c>
      <x:c r="H26" t="n">
        <x:v>45068</x:v>
      </x:c>
      <x:c r="I26" s="72" t="n">
        <x:v>600000</x:v>
      </x:c>
      <x:c r="J26" t="str">
        <x:v>boris.ewane@abcretail.test</x:v>
      </x:c>
      <x:c r="K26" t="str">
        <x:v>+237 672 122 222</x:v>
      </x:c>
      <x:c r="L26" t="str">
        <x:v>Active</x:v>
      </x:c>
    </x:row>
    <x:row r="27" ht="18" customHeight="1">
      <x:c r="A27" t="str">
        <x:v>EMP0023</x:v>
      </x:c>
      <x:c r="B27" t="str">
        <x:v>Claudine</x:v>
      </x:c>
      <x:c r="C27" t="str">
        <x:v>Fotso</x:v>
      </x:c>
      <x:c r="D27" t="str">
        <x:v>Male</x:v>
      </x:c>
      <x:c r="E27" t="str">
        <x:v>Inventory</x:v>
      </x:c>
      <x:c r="F27" t="str">
        <x:v>Storekeeper</x:v>
      </x:c>
      <x:c r="G27" t="str">
        <x:v>Buea Branch</x:v>
      </x:c>
      <x:c r="H27" t="n">
        <x:v>45091</x:v>
      </x:c>
      <x:c r="I27" s="72" t="n">
        <x:v>425000</x:v>
      </x:c>
      <x:c r="J27" t="str">
        <x:v>claudine.fotso@abcretail.test</x:v>
      </x:c>
      <x:c r="K27" t="str">
        <x:v>+237 673 123 223</x:v>
      </x:c>
      <x:c r="L27" t="str">
        <x:v>active </x:v>
      </x:c>
    </x:row>
    <x:row r="28" ht="18" customHeight="1">
      <x:c r="A28" t="str">
        <x:v>EMP0024</x:v>
      </x:c>
      <x:c r="B28" t="str">
        <x:v>David</x:v>
      </x:c>
      <x:c r="C28" t="str">
        <x:v>Bih</x:v>
      </x:c>
      <x:c r="D28" t="str">
        <x:v>Female</x:v>
      </x:c>
      <x:c r="E28" t="str">
        <x:v>IT</x:v>
      </x:c>
      <x:c r="F28" t="str">
        <x:v>IT Support Officer</x:v>
      </x:c>
      <x:c r="G28" t="str">
        <x:v>Bafoussam Branch</x:v>
      </x:c>
      <x:c r="H28" t="n">
        <x:v>45114</x:v>
      </x:c>
      <x:c r="I28" s="72" t="n">
        <x:v>720000</x:v>
      </x:c>
      <x:c r="J28" t="str">
        <x:v>david.bih@abcretail.test</x:v>
      </x:c>
      <x:c r="K28" t="str">
        <x:v>+237 674 124 224</x:v>
      </x:c>
      <x:c r="L28" t="str">
        <x:v>Active</x:v>
      </x:c>
    </x:row>
    <x:row r="29" ht="18" customHeight="1">
      <x:c r="A29" t="str">
        <x:v>EMP0025</x:v>
      </x:c>
      <x:c r="B29" t="str">
        <x:v>Esther</x:v>
      </x:c>
      <x:c r="C29" t="str">
        <x:v>Kotto</x:v>
      </x:c>
      <x:c r="D29" t="str">
        <x:v>Male</x:v>
      </x:c>
      <x:c r="E29" t="str">
        <x:v>Sales</x:v>
      </x:c>
      <x:c r="F29" t="str">
        <x:v>Sales Representative</x:v>
      </x:c>
      <x:c r="G29" t="str">
        <x:v>Douala Central</x:v>
      </x:c>
      <x:c r="H29" t="n">
        <x:v>45137</x:v>
      </x:c>
      <x:c r="I29" s="72" t="n">
        <x:v>420000</x:v>
      </x:c>
      <x:c r="J29" t="str">
        <x:v>esther.kotto@abcretail.test</x:v>
      </x:c>
      <x:c r="K29" t="str">
        <x:v>+237 675 125 225</x:v>
      </x:c>
      <x:c r="L29" t="str">
        <x:v>Active</x:v>
      </x:c>
    </x:row>
    <x:row r="30" ht="18" customHeight="1">
      <x:c r="A30" t="str">
        <x:v>EMP0026</x:v>
      </x:c>
      <x:c r="B30" t="str">
        <x:v>Frank</x:v>
      </x:c>
      <x:c r="C30" t="str">
        <x:v>Sama</x:v>
      </x:c>
      <x:c r="D30" t="str">
        <x:v>Female</x:v>
      </x:c>
      <x:c r="E30" t="str"/>
      <x:c r="F30" t="str">
        <x:v>Accountant</x:v>
      </x:c>
      <x:c r="G30" t="str">
        <x:v>Yaounde Central</x:v>
      </x:c>
      <x:c r="H30" t="n">
        <x:v>45160</x:v>
      </x:c>
      <x:c r="I30" s="72" t="n">
        <x:v>675000</x:v>
      </x:c>
      <x:c r="J30" t="str">
        <x:v>frank.sama@abcretail.test</x:v>
      </x:c>
      <x:c r="K30" t="str">
        <x:v>+237 676 126 226</x:v>
      </x:c>
      <x:c r="L30" t="str">
        <x:v>Active</x:v>
      </x:c>
    </x:row>
    <x:row r="31" ht="18" customHeight="1">
      <x:c r="A31" t="str">
        <x:v>EMP0027</x:v>
      </x:c>
      <x:c r="B31" t="str">
        <x:v>Grace</x:v>
      </x:c>
      <x:c r="C31" t="str">
        <x:v>Manga</x:v>
      </x:c>
      <x:c r="D31" t="str">
        <x:v>Male</x:v>
      </x:c>
      <x:c r="E31" t="str">
        <x:v>Human Resources</x:v>
      </x:c>
      <x:c r="F31" t="str">
        <x:v>HR Officer</x:v>
      </x:c>
      <x:c r="G31" t="str">
        <x:v>Buea Branch</x:v>
      </x:c>
      <x:c r="H31" t="n">
        <x:v>45183</x:v>
      </x:c>
      <x:c r="I31" s="72" t="n">
        <x:v>570000</x:v>
      </x:c>
      <x:c r="J31" t="str">
        <x:v>grace.manga@abcretail.test</x:v>
      </x:c>
      <x:c r="K31" t="str">
        <x:v>+237 677 127 227</x:v>
      </x:c>
      <x:c r="L31" t="str">
        <x:v>Active</x:v>
      </x:c>
    </x:row>
    <x:row r="32" ht="18" customHeight="1">
      <x:c r="A32" t="str">
        <x:v>EMP0028</x:v>
      </x:c>
      <x:c r="B32" t="str">
        <x:v>Henry</x:v>
      </x:c>
      <x:c r="C32" t="str">
        <x:v>Asong</x:v>
      </x:c>
      <x:c r="D32" t="str">
        <x:v>Female</x:v>
      </x:c>
      <x:c r="E32" t="str">
        <x:v>Marketing</x:v>
      </x:c>
      <x:c r="F32" t="str">
        <x:v>Marketing Officer</x:v>
      </x:c>
      <x:c r="G32" t="str">
        <x:v>Bafoussam Branch</x:v>
      </x:c>
      <x:c r="H32" t="n">
        <x:v>45206</x:v>
      </x:c>
      <x:c r="I32" s="72" t="n">
        <x:v>625000</x:v>
      </x:c>
      <x:c r="J32" t="str">
        <x:v>henry.asong@abcretail.test</x:v>
      </x:c>
      <x:c r="K32" t="str">
        <x:v>+237 678 128 228</x:v>
      </x:c>
      <x:c r="L32" t="str">
        <x:v>Active</x:v>
      </x:c>
    </x:row>
    <x:row r="33" ht="18" customHeight="1">
      <x:c r="A33" t="str">
        <x:v>EMP0029</x:v>
      </x:c>
      <x:c r="B33" t="str">
        <x:v>Irene</x:v>
      </x:c>
      <x:c r="C33" t="str">
        <x:v>Mbi</x:v>
      </x:c>
      <x:c r="D33" t="str">
        <x:v>Male</x:v>
      </x:c>
      <x:c r="E33" t="str">
        <x:v>Inventory</x:v>
      </x:c>
      <x:c r="F33" t="str">
        <x:v>Storekeeper</x:v>
      </x:c>
      <x:c r="G33" t="str">
        <x:v>Douala Central</x:v>
      </x:c>
      <x:c r="H33" t="n">
        <x:v>45229</x:v>
      </x:c>
      <x:c r="I33" s="72" t="n">
        <x:v>450000</x:v>
      </x:c>
      <x:c r="J33" t="str">
        <x:v>irene.mbi@abcretail.test</x:v>
      </x:c>
      <x:c r="K33" t="str">
        <x:v>+237 679 129 229</x:v>
      </x:c>
      <x:c r="L33" t="str">
        <x:v>Active</x:v>
      </x:c>
    </x:row>
    <x:row r="34" ht="18" customHeight="1">
      <x:c r="A34" t="str">
        <x:v>EMP0030</x:v>
      </x:c>
      <x:c r="B34" t="str">
        <x:v>Joel</x:v>
      </x:c>
      <x:c r="C34" t="str">
        <x:v>Ngwa</x:v>
      </x:c>
      <x:c r="D34" t="str">
        <x:v>Female</x:v>
      </x:c>
      <x:c r="E34" t="str">
        <x:v>IT</x:v>
      </x:c>
      <x:c r="F34" t="str">
        <x:v>IT Support Officer</x:v>
      </x:c>
      <x:c r="G34" t="str">
        <x:v>Buea Brnch</x:v>
      </x:c>
      <x:c r="H34" t="n">
        <x:v>45252</x:v>
      </x:c>
      <x:c r="I34" s="72" t="n">
        <x:v>620000</x:v>
      </x:c>
      <x:c r="J34" t="str">
        <x:v>joel.ngwa@abcretail.test</x:v>
      </x:c>
      <x:c r="K34" t="str">
        <x:v>+237 680 130 230</x:v>
      </x:c>
      <x:c r="L34" t="str">
        <x:v>Active</x:v>
      </x:c>
    </x:row>
    <x:row r="35" ht="18" customHeight="1">
      <x:c r="A35" t="str">
        <x:v>EMP0031</x:v>
      </x:c>
      <x:c r="B35" t="str">
        <x:v>Kevin</x:v>
      </x:c>
      <x:c r="C35" t="str">
        <x:v>Njoya</x:v>
      </x:c>
      <x:c r="D35" t="str">
        <x:v>Male</x:v>
      </x:c>
      <x:c r="E35" t="str">
        <x:v>Sales</x:v>
      </x:c>
      <x:c r="F35" t="str">
        <x:v>Sales Representative</x:v>
      </x:c>
      <x:c r="G35" t="str">
        <x:v>Buea Branch</x:v>
      </x:c>
      <x:c r="H35" t="n">
        <x:v>45275</x:v>
      </x:c>
      <x:c r="I35" s="72" t="n">
        <x:v>445000</x:v>
      </x:c>
      <x:c r="J35" t="str">
        <x:v>kevin.njoya@abcretail.test</x:v>
      </x:c>
      <x:c r="K35" t="str">
        <x:v>+237 681 131 231</x:v>
      </x:c>
      <x:c r="L35" t="str">
        <x:v>Active</x:v>
      </x:c>
    </x:row>
    <x:row r="36" ht="18" customHeight="1">
      <x:c r="A36" t="str">
        <x:v>EMP0032</x:v>
      </x:c>
      <x:c r="B36" t="str">
        <x:v>Linda</x:v>
      </x:c>
      <x:c r="C36" t="str">
        <x:v>Fopa</x:v>
      </x:c>
      <x:c r="D36" t="str">
        <x:v>Female</x:v>
      </x:c>
      <x:c r="E36" t="str">
        <x:v>Finance</x:v>
      </x:c>
      <x:c r="F36" t="str">
        <x:v>Accountant</x:v>
      </x:c>
      <x:c r="G36" t="str">
        <x:v>Bafoussam Branch</x:v>
      </x:c>
      <x:c r="H36" t="n">
        <x:v>45298</x:v>
      </x:c>
      <x:c r="I36" s="72" t="n">
        <x:v>700000</x:v>
      </x:c>
      <x:c r="J36" t="str">
        <x:v>linda.fopa@abcretail.test</x:v>
      </x:c>
      <x:c r="K36" t="str">
        <x:v>+237 682 132 232</x:v>
      </x:c>
      <x:c r="L36" t="str">
        <x:v>Active</x:v>
      </x:c>
    </x:row>
    <x:row r="37" ht="18" customHeight="1">
      <x:c r="A37" t="str">
        <x:v>EMP0033</x:v>
      </x:c>
      <x:c r="B37" t="str">
        <x:v>Mary</x:v>
      </x:c>
      <x:c r="C37" t="str">
        <x:v>Mboa</x:v>
      </x:c>
      <x:c r="D37" t="str">
        <x:v>Male</x:v>
      </x:c>
      <x:c r="E37" t="str">
        <x:v>Human Resources</x:v>
      </x:c>
      <x:c r="F37" t="str">
        <x:v>HR Officer</x:v>
      </x:c>
      <x:c r="G37" t="str">
        <x:v>Douala Central</x:v>
      </x:c>
      <x:c r="H37" t="n">
        <x:v>45321</x:v>
      </x:c>
      <x:c r="I37" s="72" t="n">
        <x:v>595000</x:v>
      </x:c>
      <x:c r="J37" t="str">
        <x:v>mary.mboa@abcretail.test</x:v>
      </x:c>
      <x:c r="K37" t="str">
        <x:v>+237 683 133 233</x:v>
      </x:c>
      <x:c r="L37" t="str">
        <x:v>Active</x:v>
      </x:c>
    </x:row>
    <x:row r="38" ht="18" customHeight="1">
      <x:c r="A38" t="str">
        <x:v>EMP0034</x:v>
      </x:c>
      <x:c r="B38" t="str">
        <x:v>Nadine</x:v>
      </x:c>
      <x:c r="C38" t="str">
        <x:v>Tambe</x:v>
      </x:c>
      <x:c r="D38" t="str">
        <x:v>female</x:v>
      </x:c>
      <x:c r="E38" t="str">
        <x:v>Marketing</x:v>
      </x:c>
      <x:c r="F38" t="str">
        <x:v>Marketing Officer</x:v>
      </x:c>
      <x:c r="G38" t="str">
        <x:v>Yaounde Central</x:v>
      </x:c>
      <x:c r="H38" t="n">
        <x:v>45344</x:v>
      </x:c>
      <x:c r="I38" s="72" t="n">
        <x:v>650000</x:v>
      </x:c>
      <x:c r="J38" t="str">
        <x:v>nadine.tambe@abcretail.test</x:v>
      </x:c>
      <x:c r="K38" t="str">
        <x:v>+237 684 134 234</x:v>
      </x:c>
      <x:c r="L38" t="str">
        <x:v>Active</x:v>
      </x:c>
    </x:row>
    <x:row r="39" ht="18" customHeight="1">
      <x:c r="A39" t="str">
        <x:v>EMP0035</x:v>
      </x:c>
      <x:c r="B39" t="str">
        <x:v>Oscar</x:v>
      </x:c>
      <x:c r="C39" t="str">
        <x:v>Fru</x:v>
      </x:c>
      <x:c r="D39" t="str">
        <x:v>Male</x:v>
      </x:c>
      <x:c r="E39" t="str">
        <x:v>Inventory</x:v>
      </x:c>
      <x:c r="F39" t="str">
        <x:v>Storekeeper</x:v>
      </x:c>
      <x:c r="G39" t="str">
        <x:v>Buea Branch</x:v>
      </x:c>
      <x:c r="H39" t="n">
        <x:v>45367</x:v>
      </x:c>
      <x:c r="I39" s="72" t="n">
        <x:v>350000</x:v>
      </x:c>
      <x:c r="J39" t="str">
        <x:v>oscar.fru@abcretail.test</x:v>
      </x:c>
      <x:c r="K39" t="str">
        <x:v>+237 685 135 235</x:v>
      </x:c>
      <x:c r="L39" t="str">
        <x:v>Active</x:v>
      </x:c>
    </x:row>
    <x:row r="40" ht="18" customHeight="1">
      <x:c r="A40" t="str">
        <x:v>EMP0036</x:v>
      </x:c>
      <x:c r="B40" t="str">
        <x:v>Patricia</x:v>
      </x:c>
      <x:c r="C40" t="str">
        <x:v>Talla</x:v>
      </x:c>
      <x:c r="D40" t="str">
        <x:v>Female</x:v>
      </x:c>
      <x:c r="E40" t="str">
        <x:v>IT</x:v>
      </x:c>
      <x:c r="F40" t="str">
        <x:v>IT Support Officer</x:v>
      </x:c>
      <x:c r="G40" t="str">
        <x:v>Bafoussam Branch</x:v>
      </x:c>
      <x:c r="H40" t="n">
        <x:v>45390</x:v>
      </x:c>
      <x:c r="I40" s="72" t="n">
        <x:v>645000</x:v>
      </x:c>
      <x:c r="J40" t="str">
        <x:v>patricia.talla@abcretail.test</x:v>
      </x:c>
      <x:c r="K40" t="str">
        <x:v>+237 686 136 236</x:v>
      </x:c>
      <x:c r="L40" t="str">
        <x:v>Active</x:v>
      </x:c>
    </x:row>
    <x:row r="41" ht="18" customHeight="1">
      <x:c r="A41" t="str">
        <x:v>EMP0037</x:v>
      </x:c>
      <x:c r="B41" t="str">
        <x:v>Quentin</x:v>
      </x:c>
      <x:c r="C41" t="str">
        <x:v>Mafor</x:v>
      </x:c>
      <x:c r="D41" t="str">
        <x:v>Male</x:v>
      </x:c>
      <x:c r="E41" t="str">
        <x:v>Sales</x:v>
      </x:c>
      <x:c r="F41" t="str">
        <x:v>Sales Representative</x:v>
      </x:c>
      <x:c r="G41" t="str">
        <x:v>Douala Central</x:v>
      </x:c>
      <x:c r="H41" t="n">
        <x:v>45413</x:v>
      </x:c>
      <x:c r="I41" s="72" t="n">
        <x:v>470000</x:v>
      </x:c>
      <x:c r="J41" t="str">
        <x:v>quentin.mafor@abcretail.test</x:v>
      </x:c>
      <x:c r="K41" t="str">
        <x:v>+237 687 137 237</x:v>
      </x:c>
      <x:c r="L41" t="str">
        <x:v>Active</x:v>
      </x:c>
    </x:row>
    <x:row r="42" ht="18" customHeight="1">
      <x:c r="A42" t="str">
        <x:v>EMP0038</x:v>
      </x:c>
      <x:c r="B42" t="str">
        <x:v>samuel</x:v>
      </x:c>
      <x:c r="C42" t="str">
        <x:v>Atem</x:v>
      </x:c>
      <x:c r="D42" t="str">
        <x:v>Female</x:v>
      </x:c>
      <x:c r="E42" t="str">
        <x:v>Finance</x:v>
      </x:c>
      <x:c r="F42" t="str">
        <x:v>Accountant</x:v>
      </x:c>
      <x:c r="G42" t="str">
        <x:v>Yaounde Central</x:v>
      </x:c>
      <x:c r="H42" t="n">
        <x:v>45436</x:v>
      </x:c>
      <x:c r="I42" s="72" t="n">
        <x:v>725000</x:v>
      </x:c>
      <x:c r="J42" t="str">
        <x:v>rose.atem@abcretail.test</x:v>
      </x:c>
      <x:c r="K42" t="str">
        <x:v>+237 688 138 238</x:v>
      </x:c>
      <x:c r="L42" t="str">
        <x:v>Active</x:v>
      </x:c>
    </x:row>
    <x:row r="43" ht="18" customHeight="1">
      <x:c r="A43" t="str">
        <x:v>EMP0039</x:v>
      </x:c>
      <x:c r="B43" t="str">
        <x:v>Samuel</x:v>
      </x:c>
      <x:c r="C43" t="str">
        <x:v>Ndongo</x:v>
      </x:c>
      <x:c r="D43" t="str">
        <x:v>Male</x:v>
      </x:c>
      <x:c r="E43" t="str">
        <x:v>Human Resources</x:v>
      </x:c>
      <x:c r="F43" t="str">
        <x:v>HR Officer</x:v>
      </x:c>
      <x:c r="G43" t="str">
        <x:v>Buea Branch</x:v>
      </x:c>
      <x:c r="H43" t="n">
        <x:v>45459</x:v>
      </x:c>
      <x:c r="I43" s="72" t="n">
        <x:v>620000</x:v>
      </x:c>
      <x:c r="J43" t="str">
        <x:v>samuel.ndongo@abcretail.test</x:v>
      </x:c>
      <x:c r="K43" t="str">
        <x:v>+237 689 139 239</x:v>
      </x:c>
      <x:c r="L43" t="str">
        <x:v>Active</x:v>
      </x:c>
    </x:row>
    <x:row r="44" ht="18" customHeight="1">
      <x:c r="A44" t="str">
        <x:v>EMP0040</x:v>
      </x:c>
      <x:c r="B44" t="str">
        <x:v>Yvette</x:v>
      </x:c>
      <x:c r="C44" t="str">
        <x:v>Etoa</x:v>
      </x:c>
      <x:c r="D44" t="str">
        <x:v>Female</x:v>
      </x:c>
      <x:c r="E44" t="str">
        <x:v>Marketing</x:v>
      </x:c>
      <x:c r="F44" t="str">
        <x:v>Marketing Officer</x:v>
      </x:c>
      <x:c r="G44" t="str">
        <x:v>Bafoussam Branch</x:v>
      </x:c>
      <x:c r="H44" t="n">
        <x:v>45482</x:v>
      </x:c>
      <x:c r="I44" s="72" t="n">
        <x:v>550000</x:v>
      </x:c>
      <x:c r="J44" t="str">
        <x:v>yvette.etoa@abcretail.test</x:v>
      </x:c>
      <x:c r="K44" t="str">
        <x:v>+237 670 140 240</x:v>
      </x:c>
      <x:c r="L44" t="str">
        <x:v>Active</x:v>
      </x:c>
    </x:row>
    <x:row r="45" ht="18" customHeight="1">
      <x:c r="A45" t="str">
        <x:v>EMP0005</x:v>
      </x:c>
      <x:c r="B45" t="str">
        <x:v>Esther</x:v>
      </x:c>
      <x:c r="C45" t="str">
        <x:v>Kotto</x:v>
      </x:c>
      <x:c r="D45" t="str">
        <x:v>Male</x:v>
      </x:c>
      <x:c r="E45" t="str">
        <x:v>Inventory</x:v>
      </x:c>
      <x:c r="F45" t="str">
        <x:v>Storekeeper</x:v>
      </x:c>
      <x:c r="G45" t="str">
        <x:v>Douala Central</x:v>
      </x:c>
      <x:c r="H45" t="n">
        <x:v>44677</x:v>
      </x:c>
      <x:c r="I45" s="72" t="n">
        <x:v>350000</x:v>
      </x:c>
      <x:c r="J45" t="str">
        <x:v>esther.kotto@abcretail.test</x:v>
      </x:c>
      <x:c r="K45" t="str">
        <x:v>+237 675 105 205</x:v>
      </x:c>
      <x:c r="L45" t="str">
        <x:v>Active</x:v>
      </x:c>
    </x:row>
    <x:row r="46" ht="18" customHeight="1">
      <x:c r="A46" t="str">
        <x:v>EMP0013</x:v>
      </x:c>
      <x:c r="B46" t="str">
        <x:v>Mary</x:v>
      </x:c>
      <x:c r="C46" t="str">
        <x:v>Mboa</x:v>
      </x:c>
      <x:c r="D46" t="str">
        <x:v>Male</x:v>
      </x:c>
      <x:c r="E46" t="str">
        <x:v>Sales</x:v>
      </x:c>
      <x:c r="F46" t="str">
        <x:v>Sales Representative</x:v>
      </x:c>
      <x:c r="G46" t="str">
        <x:v>Douala Central</x:v>
      </x:c>
      <x:c r="H46" t="n">
        <x:v>44861</x:v>
      </x:c>
      <x:c r="I46" s="72" t="n">
        <x:v>495000</x:v>
      </x:c>
      <x:c r="J46" t="str">
        <x:v>mary.mboa@abcretail.test</x:v>
      </x:c>
      <x:c r="K46" t="str">
        <x:v>+237 683 113 213</x:v>
      </x:c>
      <x:c r="L46" t="str">
        <x:v>Active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d045b04b7f6a47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25" hidden="0" customWidth="1"/>
    <x:col min="3" max="3" width="11" hidden="0" customWidth="1"/>
    <x:col min="4" max="4" width="22" hidden="0" customWidth="1"/>
    <x:col min="5" max="5" width="18" hidden="0" customWidth="1"/>
    <x:col min="6" max="6" width="8.630000114440918" hidden="0" customWidth="1"/>
    <x:col min="7" max="7" width="30" hidden="0" customWidth="1"/>
    <x:col min="8" max="8" width="20" hidden="0" customWidth="1"/>
    <x:col min="9" max="9" width="16.1299991607666" hidden="0" customWidth="1"/>
    <x:col min="10" max="10" width="13.630000114440918" hidden="0" customWidth="1"/>
    <x:col min="11" max="11" width="7.75" hidden="0" customWidth="1"/>
  </x:cols>
  <x:sheetData>
    <x:row r="1" ht="30" customHeight="1">
      <x:c r="A1" s="5" t="str">
        <x:v>Customers — Clean Reference</x:v>
      </x:c>
    </x:row>
    <x:row r="3">
      <x:c r="A3" s="76" t="str">
        <x:v>CLEAN REFERENCE DATASET</x:v>
      </x:c>
    </x:row>
    <x:row r="4">
      <x:c r="A4" s="51" t="str">
        <x:v>Customer ID</x:v>
      </x:c>
      <x:c r="B4" s="52" t="str">
        <x:v>First Name</x:v>
      </x:c>
      <x:c r="C4" s="52" t="str">
        <x:v>Last Name</x:v>
      </x:c>
      <x:c r="D4" s="52" t="str">
        <x:v>Company Name</x:v>
      </x:c>
      <x:c r="E4" s="52" t="str">
        <x:v>Customer Type</x:v>
      </x:c>
      <x:c r="F4" s="52" t="str">
        <x:v>City</x:v>
      </x:c>
      <x:c r="G4" s="52" t="str">
        <x:v>Email</x:v>
      </x:c>
      <x:c r="H4" s="52" t="str">
        <x:v>Phone</x:v>
      </x:c>
      <x:c r="I4" s="52" t="str">
        <x:v>Registration Date</x:v>
      </x:c>
      <x:c r="J4" s="52" t="str">
        <x:v>Loyalty Status</x:v>
      </x:c>
      <x:c r="K4" s="53" t="str">
        <x:v>Status</x:v>
      </x:c>
    </x:row>
    <x:row r="5" ht="18" customHeight="1">
      <x:c r="A5" t="str">
        <x:v>CUS0001</x:v>
      </x:c>
      <x:c r="B5" t="str">
        <x:v>David</x:v>
      </x:c>
      <x:c r="C5" t="str">
        <x:v>Mbi</x:v>
      </x:c>
      <x:c r="D5" t="str"/>
      <x:c r="E5" t="str">
        <x:v>Individual</x:v>
      </x:c>
      <x:c r="F5" t="str">
        <x:v>Douala</x:v>
      </x:c>
      <x:c r="G5" t="str">
        <x:v>customer1@example.test</x:v>
      </x:c>
      <x:c r="H5" t="str">
        <x:v>+237 676 301 401</x:v>
      </x:c>
      <x:c r="I5" s="70" t="n">
        <x:v>45663</x:v>
      </x:c>
      <x:c r="J5" t="str">
        <x:v>Silver</x:v>
      </x:c>
      <x:c r="K5" t="str">
        <x:v>Active</x:v>
      </x:c>
    </x:row>
    <x:row r="6" ht="18" customHeight="1">
      <x:c r="A6" t="str">
        <x:v>CUS0002</x:v>
      </x:c>
      <x:c r="B6" t="str"/>
      <x:c r="C6" t="str"/>
      <x:c r="D6" t="str">
        <x:v>Company 2</x:v>
      </x:c>
      <x:c r="E6" t="str">
        <x:v>Retail</x:v>
      </x:c>
      <x:c r="F6" t="str">
        <x:v>Yaounde</x:v>
      </x:c>
      <x:c r="G6" t="str">
        <x:v>customer2@example.test</x:v>
      </x:c>
      <x:c r="H6" t="str">
        <x:v>+237 677 302 402</x:v>
      </x:c>
      <x:c r="I6" s="70" t="n">
        <x:v>45668</x:v>
      </x:c>
      <x:c r="J6" t="str">
        <x:v>Gold</x:v>
      </x:c>
      <x:c r="K6" t="str">
        <x:v>Active</x:v>
      </x:c>
    </x:row>
    <x:row r="7" ht="18" customHeight="1">
      <x:c r="A7" t="str">
        <x:v>CUS0003</x:v>
      </x:c>
      <x:c r="B7" t="str"/>
      <x:c r="C7" t="str"/>
      <x:c r="D7" t="str">
        <x:v>Company 3</x:v>
      </x:c>
      <x:c r="E7" t="str">
        <x:v>Corporate</x:v>
      </x:c>
      <x:c r="F7" t="str">
        <x:v>Buea</x:v>
      </x:c>
      <x:c r="G7" t="str">
        <x:v>customer3@example.test</x:v>
      </x:c>
      <x:c r="H7" t="str">
        <x:v>+237 678 303 403</x:v>
      </x:c>
      <x:c r="I7" s="70" t="n">
        <x:v>45673</x:v>
      </x:c>
      <x:c r="J7" t="str">
        <x:v>Platinum</x:v>
      </x:c>
      <x:c r="K7" t="str">
        <x:v>Active</x:v>
      </x:c>
    </x:row>
    <x:row r="8" ht="18" customHeight="1">
      <x:c r="A8" t="str">
        <x:v>CUS0004</x:v>
      </x:c>
      <x:c r="B8" t="str"/>
      <x:c r="C8" t="str"/>
      <x:c r="D8" t="str">
        <x:v>Company 4</x:v>
      </x:c>
      <x:c r="E8" t="str">
        <x:v>Wholesale</x:v>
      </x:c>
      <x:c r="F8" t="str">
        <x:v>Bafoussam</x:v>
      </x:c>
      <x:c r="G8" t="str">
        <x:v>customer4@example.test</x:v>
      </x:c>
      <x:c r="H8" t="str">
        <x:v>+237 679 304 404</x:v>
      </x:c>
      <x:c r="I8" s="70" t="n">
        <x:v>45678</x:v>
      </x:c>
      <x:c r="J8" t="str">
        <x:v>Standard</x:v>
      </x:c>
      <x:c r="K8" t="str">
        <x:v>Active</x:v>
      </x:c>
    </x:row>
    <x:row r="9" ht="18" customHeight="1">
      <x:c r="A9" t="str">
        <x:v>CUS0005</x:v>
      </x:c>
      <x:c r="B9" t="str">
        <x:v>Henry</x:v>
      </x:c>
      <x:c r="C9" t="str">
        <x:v>Mafor</x:v>
      </x:c>
      <x:c r="D9" t="str"/>
      <x:c r="E9" t="str">
        <x:v>Individual</x:v>
      </x:c>
      <x:c r="F9" t="str">
        <x:v>Douala</x:v>
      </x:c>
      <x:c r="G9" t="str">
        <x:v>customer5@example.test</x:v>
      </x:c>
      <x:c r="H9" t="str">
        <x:v>+237 680 305 405</x:v>
      </x:c>
      <x:c r="I9" s="70" t="n">
        <x:v>45683</x:v>
      </x:c>
      <x:c r="J9" t="str">
        <x:v>Silver</x:v>
      </x:c>
      <x:c r="K9" t="str">
        <x:v>Active</x:v>
      </x:c>
    </x:row>
    <x:row r="10" ht="18" customHeight="1">
      <x:c r="A10" t="str">
        <x:v>CUS0006</x:v>
      </x:c>
      <x:c r="B10" t="str"/>
      <x:c r="C10" t="str"/>
      <x:c r="D10" t="str">
        <x:v>Company 6</x:v>
      </x:c>
      <x:c r="E10" t="str">
        <x:v>Retail</x:v>
      </x:c>
      <x:c r="F10" t="str">
        <x:v>Yaounde</x:v>
      </x:c>
      <x:c r="G10" t="str">
        <x:v>customer6@example.test</x:v>
      </x:c>
      <x:c r="H10" t="str">
        <x:v>+237 681 306 406</x:v>
      </x:c>
      <x:c r="I10" s="70" t="n">
        <x:v>45688</x:v>
      </x:c>
      <x:c r="J10" t="str">
        <x:v>Gold</x:v>
      </x:c>
      <x:c r="K10" t="str">
        <x:v>Active</x:v>
      </x:c>
    </x:row>
    <x:row r="11" ht="18" customHeight="1">
      <x:c r="A11" t="str">
        <x:v>CUS0007</x:v>
      </x:c>
      <x:c r="B11" t="str"/>
      <x:c r="C11" t="str"/>
      <x:c r="D11" t="str">
        <x:v>Company 7</x:v>
      </x:c>
      <x:c r="E11" t="str">
        <x:v>Corporate</x:v>
      </x:c>
      <x:c r="F11" t="str">
        <x:v>Buea</x:v>
      </x:c>
      <x:c r="G11" t="str">
        <x:v>customer7@example.test</x:v>
      </x:c>
      <x:c r="H11" t="str">
        <x:v>+237 682 307 407</x:v>
      </x:c>
      <x:c r="I11" s="70" t="n">
        <x:v>45693</x:v>
      </x:c>
      <x:c r="J11" t="str">
        <x:v>Platinum</x:v>
      </x:c>
      <x:c r="K11" t="str">
        <x:v>Active</x:v>
      </x:c>
    </x:row>
    <x:row r="12" ht="18" customHeight="1">
      <x:c r="A12" t="str">
        <x:v>CUS0008</x:v>
      </x:c>
      <x:c r="B12" t="str"/>
      <x:c r="C12" t="str"/>
      <x:c r="D12" t="str">
        <x:v>Company 8</x:v>
      </x:c>
      <x:c r="E12" t="str">
        <x:v>Wholesale</x:v>
      </x:c>
      <x:c r="F12" t="str">
        <x:v>Bafoussam</x:v>
      </x:c>
      <x:c r="G12" t="str">
        <x:v>customer8@example.test</x:v>
      </x:c>
      <x:c r="H12" t="str">
        <x:v>+237 683 308 408</x:v>
      </x:c>
      <x:c r="I12" s="70" t="n">
        <x:v>45698</x:v>
      </x:c>
      <x:c r="J12" t="str">
        <x:v>Standard</x:v>
      </x:c>
      <x:c r="K12" t="str">
        <x:v>Active</x:v>
      </x:c>
    </x:row>
    <x:row r="13" ht="18" customHeight="1">
      <x:c r="A13" t="str">
        <x:v>CUS0009</x:v>
      </x:c>
      <x:c r="B13" t="str">
        <x:v>Linda</x:v>
      </x:c>
      <x:c r="C13" t="str">
        <x:v>Kotto</x:v>
      </x:c>
      <x:c r="D13" t="str"/>
      <x:c r="E13" t="str">
        <x:v>Individual</x:v>
      </x:c>
      <x:c r="F13" t="str">
        <x:v>Douala</x:v>
      </x:c>
      <x:c r="G13" t="str">
        <x:v>customer9@example.test</x:v>
      </x:c>
      <x:c r="H13" t="str">
        <x:v>+237 684 309 409</x:v>
      </x:c>
      <x:c r="I13" s="70" t="n">
        <x:v>45703</x:v>
      </x:c>
      <x:c r="J13" t="str">
        <x:v>Silver</x:v>
      </x:c>
      <x:c r="K13" t="str">
        <x:v>Active</x:v>
      </x:c>
    </x:row>
    <x:row r="14" ht="18" customHeight="1">
      <x:c r="A14" t="str">
        <x:v>CUS0010</x:v>
      </x:c>
      <x:c r="B14" t="str"/>
      <x:c r="C14" t="str"/>
      <x:c r="D14" t="str">
        <x:v>Company 10</x:v>
      </x:c>
      <x:c r="E14" t="str">
        <x:v>Retail</x:v>
      </x:c>
      <x:c r="F14" t="str">
        <x:v>Yaounde</x:v>
      </x:c>
      <x:c r="G14" t="str">
        <x:v>customer10@example.test</x:v>
      </x:c>
      <x:c r="H14" t="str">
        <x:v>+237 685 310 410</x:v>
      </x:c>
      <x:c r="I14" s="70" t="n">
        <x:v>45708</x:v>
      </x:c>
      <x:c r="J14" t="str">
        <x:v>Gold</x:v>
      </x:c>
      <x:c r="K14" t="str">
        <x:v>Active</x:v>
      </x:c>
    </x:row>
    <x:row r="15" ht="18" customHeight="1">
      <x:c r="A15" t="str">
        <x:v>CUS0011</x:v>
      </x:c>
      <x:c r="B15" t="str"/>
      <x:c r="C15" t="str"/>
      <x:c r="D15" t="str">
        <x:v>Company 11</x:v>
      </x:c>
      <x:c r="E15" t="str">
        <x:v>Corporate</x:v>
      </x:c>
      <x:c r="F15" t="str">
        <x:v>Buea</x:v>
      </x:c>
      <x:c r="G15" t="str">
        <x:v>customer11@example.test</x:v>
      </x:c>
      <x:c r="H15" t="str">
        <x:v>+237 686 311 411</x:v>
      </x:c>
      <x:c r="I15" s="70" t="n">
        <x:v>45713</x:v>
      </x:c>
      <x:c r="J15" t="str">
        <x:v>Platinum</x:v>
      </x:c>
      <x:c r="K15" t="str">
        <x:v>Active</x:v>
      </x:c>
    </x:row>
    <x:row r="16" ht="18" customHeight="1">
      <x:c r="A16" t="str">
        <x:v>CUS0012</x:v>
      </x:c>
      <x:c r="B16" t="str"/>
      <x:c r="C16" t="str"/>
      <x:c r="D16" t="str">
        <x:v>Company 12</x:v>
      </x:c>
      <x:c r="E16" t="str">
        <x:v>Wholesale</x:v>
      </x:c>
      <x:c r="F16" t="str">
        <x:v>Bafoussam</x:v>
      </x:c>
      <x:c r="G16" t="str">
        <x:v>customer12@example.test</x:v>
      </x:c>
      <x:c r="H16" t="str">
        <x:v>+237 687 312 412</x:v>
      </x:c>
      <x:c r="I16" s="70" t="n">
        <x:v>45718</x:v>
      </x:c>
      <x:c r="J16" t="str">
        <x:v>Standard</x:v>
      </x:c>
      <x:c r="K16" t="str">
        <x:v>Active</x:v>
      </x:c>
    </x:row>
    <x:row r="17" ht="18" customHeight="1">
      <x:c r="A17" t="str">
        <x:v>CUS0013</x:v>
      </x:c>
      <x:c r="B17" t="str">
        <x:v>Patricia</x:v>
      </x:c>
      <x:c r="C17" t="str">
        <x:v>Mboa</x:v>
      </x:c>
      <x:c r="D17" t="str"/>
      <x:c r="E17" t="str">
        <x:v>Individual</x:v>
      </x:c>
      <x:c r="F17" t="str">
        <x:v>Douala</x:v>
      </x:c>
      <x:c r="G17" t="str">
        <x:v>customer13@example.test</x:v>
      </x:c>
      <x:c r="H17" t="str">
        <x:v>+237 688 313 413</x:v>
      </x:c>
      <x:c r="I17" s="70" t="n">
        <x:v>45723</x:v>
      </x:c>
      <x:c r="J17" t="str">
        <x:v>Silver</x:v>
      </x:c>
      <x:c r="K17" t="str">
        <x:v>Active</x:v>
      </x:c>
    </x:row>
    <x:row r="18" ht="18" customHeight="1">
      <x:c r="A18" t="str">
        <x:v>CUS0014</x:v>
      </x:c>
      <x:c r="B18" t="str"/>
      <x:c r="C18" t="str"/>
      <x:c r="D18" t="str">
        <x:v>Company 14</x:v>
      </x:c>
      <x:c r="E18" t="str">
        <x:v>Retail</x:v>
      </x:c>
      <x:c r="F18" t="str">
        <x:v>Yaounde</x:v>
      </x:c>
      <x:c r="G18" t="str">
        <x:v>customer14@example.test</x:v>
      </x:c>
      <x:c r="H18" t="str">
        <x:v>+237 689 314 414</x:v>
      </x:c>
      <x:c r="I18" s="70" t="n">
        <x:v>45728</x:v>
      </x:c>
      <x:c r="J18" t="str">
        <x:v>Gold</x:v>
      </x:c>
      <x:c r="K18" t="str">
        <x:v>Active</x:v>
      </x:c>
    </x:row>
    <x:row r="19" ht="18" customHeight="1">
      <x:c r="A19" t="str">
        <x:v>CUS0015</x:v>
      </x:c>
      <x:c r="B19" t="str"/>
      <x:c r="C19" t="str"/>
      <x:c r="D19" t="str">
        <x:v>Company 15</x:v>
      </x:c>
      <x:c r="E19" t="str">
        <x:v>Corporate</x:v>
      </x:c>
      <x:c r="F19" t="str">
        <x:v>Buea</x:v>
      </x:c>
      <x:c r="G19" t="str">
        <x:v>customer15@example.test</x:v>
      </x:c>
      <x:c r="H19" t="str">
        <x:v>+237 675 315 415</x:v>
      </x:c>
      <x:c r="I19" s="70" t="n">
        <x:v>45733</x:v>
      </x:c>
      <x:c r="J19" t="str">
        <x:v>Platinum</x:v>
      </x:c>
      <x:c r="K19" t="str">
        <x:v>Active</x:v>
      </x:c>
    </x:row>
    <x:row r="20" ht="18" customHeight="1">
      <x:c r="A20" t="str">
        <x:v>CUS0016</x:v>
      </x:c>
      <x:c r="B20" t="str"/>
      <x:c r="C20" t="str"/>
      <x:c r="D20" t="str">
        <x:v>Company 16</x:v>
      </x:c>
      <x:c r="E20" t="str">
        <x:v>Wholesale</x:v>
      </x:c>
      <x:c r="F20" t="str">
        <x:v>Bafoussam</x:v>
      </x:c>
      <x:c r="G20" t="str">
        <x:v>customer16@example.test</x:v>
      </x:c>
      <x:c r="H20" t="str">
        <x:v>+237 676 316 416</x:v>
      </x:c>
      <x:c r="I20" s="70" t="n">
        <x:v>45738</x:v>
      </x:c>
      <x:c r="J20" t="str">
        <x:v>Standard</x:v>
      </x:c>
      <x:c r="K20" t="str">
        <x:v>Active</x:v>
      </x:c>
    </x:row>
    <x:row r="21" ht="18" customHeight="1">
      <x:c r="A21" t="str">
        <x:v>CUS0017</x:v>
      </x:c>
      <x:c r="B21" t="str">
        <x:v>Yvette</x:v>
      </x:c>
      <x:c r="C21" t="str">
        <x:v>Nkem</x:v>
      </x:c>
      <x:c r="D21" t="str"/>
      <x:c r="E21" t="str">
        <x:v>Individual</x:v>
      </x:c>
      <x:c r="F21" t="str">
        <x:v>Douala</x:v>
      </x:c>
      <x:c r="G21" t="str">
        <x:v>customer17@example.test</x:v>
      </x:c>
      <x:c r="H21" t="str">
        <x:v>+237 677 317 417</x:v>
      </x:c>
      <x:c r="I21" s="70" t="n">
        <x:v>45743</x:v>
      </x:c>
      <x:c r="J21" t="str">
        <x:v>Silver</x:v>
      </x:c>
      <x:c r="K21" t="str">
        <x:v>Active</x:v>
      </x:c>
    </x:row>
    <x:row r="22" ht="18" customHeight="1">
      <x:c r="A22" t="str">
        <x:v>CUS0018</x:v>
      </x:c>
      <x:c r="B22" t="str"/>
      <x:c r="C22" t="str"/>
      <x:c r="D22" t="str">
        <x:v>Company 18</x:v>
      </x:c>
      <x:c r="E22" t="str">
        <x:v>Retail</x:v>
      </x:c>
      <x:c r="F22" t="str">
        <x:v>Yaounde</x:v>
      </x:c>
      <x:c r="G22" t="str">
        <x:v>customer18@example.test</x:v>
      </x:c>
      <x:c r="H22" t="str">
        <x:v>+237 678 318 418</x:v>
      </x:c>
      <x:c r="I22" s="70" t="n">
        <x:v>45748</x:v>
      </x:c>
      <x:c r="J22" t="str">
        <x:v>Gold</x:v>
      </x:c>
      <x:c r="K22" t="str">
        <x:v>Active</x:v>
      </x:c>
    </x:row>
    <x:row r="23" ht="18" customHeight="1">
      <x:c r="A23" t="str">
        <x:v>CUS0019</x:v>
      </x:c>
      <x:c r="B23" t="str"/>
      <x:c r="C23" t="str"/>
      <x:c r="D23" t="str">
        <x:v>Company 19</x:v>
      </x:c>
      <x:c r="E23" t="str">
        <x:v>Corporate</x:v>
      </x:c>
      <x:c r="F23" t="str">
        <x:v>Buea</x:v>
      </x:c>
      <x:c r="G23" t="str">
        <x:v>customer19@example.test</x:v>
      </x:c>
      <x:c r="H23" t="str">
        <x:v>+237 679 319 419</x:v>
      </x:c>
      <x:c r="I23" s="70" t="n">
        <x:v>45753</x:v>
      </x:c>
      <x:c r="J23" t="str">
        <x:v>Platinum</x:v>
      </x:c>
      <x:c r="K23" t="str">
        <x:v>Active</x:v>
      </x:c>
    </x:row>
    <x:row r="24" ht="18" customHeight="1">
      <x:c r="A24" t="str">
        <x:v>CUS0020</x:v>
      </x:c>
      <x:c r="B24" t="str"/>
      <x:c r="C24" t="str"/>
      <x:c r="D24" t="str">
        <x:v>Company 20</x:v>
      </x:c>
      <x:c r="E24" t="str">
        <x:v>Wholesale</x:v>
      </x:c>
      <x:c r="F24" t="str">
        <x:v>Bafoussam</x:v>
      </x:c>
      <x:c r="G24" t="str">
        <x:v>customer20@example.test</x:v>
      </x:c>
      <x:c r="H24" t="str">
        <x:v>+237 680 320 420</x:v>
      </x:c>
      <x:c r="I24" s="70" t="n">
        <x:v>45758</x:v>
      </x:c>
      <x:c r="J24" t="str">
        <x:v>Standard</x:v>
      </x:c>
      <x:c r="K24" t="str">
        <x:v>Active</x:v>
      </x:c>
    </x:row>
    <x:row r="25" ht="18" customHeight="1">
      <x:c r="A25" t="str">
        <x:v>CUS0021</x:v>
      </x:c>
      <x:c r="B25" t="str">
        <x:v>David</x:v>
      </x:c>
      <x:c r="C25" t="str">
        <x:v>Mbi</x:v>
      </x:c>
      <x:c r="D25" t="str"/>
      <x:c r="E25" t="str">
        <x:v>Individual</x:v>
      </x:c>
      <x:c r="F25" t="str">
        <x:v>Douala</x:v>
      </x:c>
      <x:c r="G25" t="str">
        <x:v>customer21@example.test</x:v>
      </x:c>
      <x:c r="H25" t="str">
        <x:v>+237 681 321 421</x:v>
      </x:c>
      <x:c r="I25" s="70" t="n">
        <x:v>45763</x:v>
      </x:c>
      <x:c r="J25" t="str">
        <x:v>Silver</x:v>
      </x:c>
      <x:c r="K25" t="str">
        <x:v>Active</x:v>
      </x:c>
    </x:row>
    <x:row r="26" ht="18" customHeight="1">
      <x:c r="A26" t="str">
        <x:v>CUS0022</x:v>
      </x:c>
      <x:c r="B26" t="str"/>
      <x:c r="C26" t="str"/>
      <x:c r="D26" t="str">
        <x:v>Company 22</x:v>
      </x:c>
      <x:c r="E26" t="str">
        <x:v>Retail</x:v>
      </x:c>
      <x:c r="F26" t="str">
        <x:v>Yaounde</x:v>
      </x:c>
      <x:c r="G26" t="str">
        <x:v>customer22@example.test</x:v>
      </x:c>
      <x:c r="H26" t="str">
        <x:v>+237 682 322 422</x:v>
      </x:c>
      <x:c r="I26" s="70" t="n">
        <x:v>45768</x:v>
      </x:c>
      <x:c r="J26" t="str">
        <x:v>Gold</x:v>
      </x:c>
      <x:c r="K26" t="str">
        <x:v>Active</x:v>
      </x:c>
    </x:row>
    <x:row r="27" ht="18" customHeight="1">
      <x:c r="A27" t="str">
        <x:v>CUS0023</x:v>
      </x:c>
      <x:c r="B27" t="str"/>
      <x:c r="C27" t="str"/>
      <x:c r="D27" t="str">
        <x:v>Company 23</x:v>
      </x:c>
      <x:c r="E27" t="str">
        <x:v>Corporate</x:v>
      </x:c>
      <x:c r="F27" t="str">
        <x:v>Buea</x:v>
      </x:c>
      <x:c r="G27" t="str">
        <x:v>customer23@example.test</x:v>
      </x:c>
      <x:c r="H27" t="str">
        <x:v>+237 683 323 423</x:v>
      </x:c>
      <x:c r="I27" s="70" t="n">
        <x:v>45773</x:v>
      </x:c>
      <x:c r="J27" t="str">
        <x:v>Platinum</x:v>
      </x:c>
      <x:c r="K27" t="str">
        <x:v>Active</x:v>
      </x:c>
    </x:row>
    <x:row r="28" ht="18" customHeight="1">
      <x:c r="A28" t="str">
        <x:v>CUS0024</x:v>
      </x:c>
      <x:c r="B28" t="str"/>
      <x:c r="C28" t="str"/>
      <x:c r="D28" t="str">
        <x:v>Company 24</x:v>
      </x:c>
      <x:c r="E28" t="str">
        <x:v>Wholesale</x:v>
      </x:c>
      <x:c r="F28" t="str">
        <x:v>Bafoussam</x:v>
      </x:c>
      <x:c r="G28" t="str">
        <x:v>customer24@example.test</x:v>
      </x:c>
      <x:c r="H28" t="str">
        <x:v>+237 684 324 424</x:v>
      </x:c>
      <x:c r="I28" s="70" t="n">
        <x:v>45778</x:v>
      </x:c>
      <x:c r="J28" t="str">
        <x:v>Standard</x:v>
      </x:c>
      <x:c r="K28" t="str">
        <x:v>Active</x:v>
      </x:c>
    </x:row>
    <x:row r="29" ht="18" customHeight="1">
      <x:c r="A29" t="str">
        <x:v>CUS0025</x:v>
      </x:c>
      <x:c r="B29" t="str">
        <x:v>Henry</x:v>
      </x:c>
      <x:c r="C29" t="str">
        <x:v>Mafor</x:v>
      </x:c>
      <x:c r="D29" t="str"/>
      <x:c r="E29" t="str">
        <x:v>Individual</x:v>
      </x:c>
      <x:c r="F29" t="str">
        <x:v>Douala</x:v>
      </x:c>
      <x:c r="G29" t="str">
        <x:v>customer25@example.test</x:v>
      </x:c>
      <x:c r="H29" t="str">
        <x:v>+237 685 325 425</x:v>
      </x:c>
      <x:c r="I29" s="70" t="n">
        <x:v>45783</x:v>
      </x:c>
      <x:c r="J29" t="str">
        <x:v>Silver</x:v>
      </x:c>
      <x:c r="K29" t="str">
        <x:v>Active</x:v>
      </x:c>
    </x:row>
    <x:row r="30" ht="18" customHeight="1">
      <x:c r="A30" t="str">
        <x:v>CUS0026</x:v>
      </x:c>
      <x:c r="B30" t="str"/>
      <x:c r="C30" t="str"/>
      <x:c r="D30" t="str">
        <x:v>Company 26</x:v>
      </x:c>
      <x:c r="E30" t="str">
        <x:v>Retail</x:v>
      </x:c>
      <x:c r="F30" t="str">
        <x:v>Yaounde</x:v>
      </x:c>
      <x:c r="G30" t="str">
        <x:v>customer26@example.test</x:v>
      </x:c>
      <x:c r="H30" t="str">
        <x:v>+237 686 326 426</x:v>
      </x:c>
      <x:c r="I30" s="70" t="n">
        <x:v>45788</x:v>
      </x:c>
      <x:c r="J30" t="str">
        <x:v>Gold</x:v>
      </x:c>
      <x:c r="K30" t="str">
        <x:v>Active</x:v>
      </x:c>
    </x:row>
    <x:row r="31" ht="18" customHeight="1">
      <x:c r="A31" t="str">
        <x:v>CUS0027</x:v>
      </x:c>
      <x:c r="B31" t="str"/>
      <x:c r="C31" t="str"/>
      <x:c r="D31" t="str">
        <x:v>Company 27</x:v>
      </x:c>
      <x:c r="E31" t="str">
        <x:v>Corporate</x:v>
      </x:c>
      <x:c r="F31" t="str">
        <x:v>Buea</x:v>
      </x:c>
      <x:c r="G31" t="str">
        <x:v>customer27@example.test</x:v>
      </x:c>
      <x:c r="H31" t="str">
        <x:v>+237 687 327 427</x:v>
      </x:c>
      <x:c r="I31" s="70" t="n">
        <x:v>45793</x:v>
      </x:c>
      <x:c r="J31" t="str">
        <x:v>Platinum</x:v>
      </x:c>
      <x:c r="K31" t="str">
        <x:v>Active</x:v>
      </x:c>
    </x:row>
    <x:row r="32" ht="18" customHeight="1">
      <x:c r="A32" t="str">
        <x:v>CUS0028</x:v>
      </x:c>
      <x:c r="B32" t="str"/>
      <x:c r="C32" t="str"/>
      <x:c r="D32" t="str">
        <x:v>Company 28</x:v>
      </x:c>
      <x:c r="E32" t="str">
        <x:v>Wholesale</x:v>
      </x:c>
      <x:c r="F32" t="str">
        <x:v>Bafoussam</x:v>
      </x:c>
      <x:c r="G32" t="str">
        <x:v>customer28@example.test</x:v>
      </x:c>
      <x:c r="H32" t="str">
        <x:v>+237 688 328 428</x:v>
      </x:c>
      <x:c r="I32" s="70" t="n">
        <x:v>45798</x:v>
      </x:c>
      <x:c r="J32" t="str">
        <x:v>Standard</x:v>
      </x:c>
      <x:c r="K32" t="str">
        <x:v>Active</x:v>
      </x:c>
    </x:row>
    <x:row r="33" ht="18" customHeight="1">
      <x:c r="A33" t="str">
        <x:v>CUS0029</x:v>
      </x:c>
      <x:c r="B33" t="str">
        <x:v>Linda</x:v>
      </x:c>
      <x:c r="C33" t="str">
        <x:v>Kotto</x:v>
      </x:c>
      <x:c r="D33" t="str"/>
      <x:c r="E33" t="str">
        <x:v>Individual</x:v>
      </x:c>
      <x:c r="F33" t="str">
        <x:v>Douala</x:v>
      </x:c>
      <x:c r="G33" t="str">
        <x:v>customer29@example.test</x:v>
      </x:c>
      <x:c r="H33" t="str">
        <x:v>+237 689 329 429</x:v>
      </x:c>
      <x:c r="I33" s="70" t="n">
        <x:v>45803</x:v>
      </x:c>
      <x:c r="J33" t="str">
        <x:v>Silver</x:v>
      </x:c>
      <x:c r="K33" t="str">
        <x:v>Active</x:v>
      </x:c>
    </x:row>
    <x:row r="34" ht="18" customHeight="1">
      <x:c r="A34" t="str">
        <x:v>CUS0030</x:v>
      </x:c>
      <x:c r="B34" t="str"/>
      <x:c r="C34" t="str"/>
      <x:c r="D34" t="str">
        <x:v>Company 30</x:v>
      </x:c>
      <x:c r="E34" t="str">
        <x:v>Retail</x:v>
      </x:c>
      <x:c r="F34" t="str">
        <x:v>Yaounde</x:v>
      </x:c>
      <x:c r="G34" t="str">
        <x:v>customer30@example.test</x:v>
      </x:c>
      <x:c r="H34" t="str">
        <x:v>+237 675 330 430</x:v>
      </x:c>
      <x:c r="I34" s="70" t="n">
        <x:v>45808</x:v>
      </x:c>
      <x:c r="J34" t="str">
        <x:v>Gold</x:v>
      </x:c>
      <x:c r="K34" t="str">
        <x:v>Active</x:v>
      </x:c>
    </x:row>
    <x:row r="35" ht="18" customHeight="1">
      <x:c r="A35" t="str">
        <x:v>CUS0031</x:v>
      </x:c>
      <x:c r="B35" t="str"/>
      <x:c r="C35" t="str"/>
      <x:c r="D35" t="str">
        <x:v>Company 31</x:v>
      </x:c>
      <x:c r="E35" t="str">
        <x:v>Corporate</x:v>
      </x:c>
      <x:c r="F35" t="str">
        <x:v>Buea</x:v>
      </x:c>
      <x:c r="G35" t="str">
        <x:v>customer31@example.test</x:v>
      </x:c>
      <x:c r="H35" t="str">
        <x:v>+237 676 331 431</x:v>
      </x:c>
      <x:c r="I35" s="70" t="n">
        <x:v>45813</x:v>
      </x:c>
      <x:c r="J35" t="str">
        <x:v>Platinum</x:v>
      </x:c>
      <x:c r="K35" t="str">
        <x:v>Active</x:v>
      </x:c>
    </x:row>
    <x:row r="36" ht="18" customHeight="1">
      <x:c r="A36" t="str">
        <x:v>CUS0032</x:v>
      </x:c>
      <x:c r="B36" t="str"/>
      <x:c r="C36" t="str"/>
      <x:c r="D36" t="str">
        <x:v>Company 32</x:v>
      </x:c>
      <x:c r="E36" t="str">
        <x:v>Wholesale</x:v>
      </x:c>
      <x:c r="F36" t="str">
        <x:v>Bafoussam</x:v>
      </x:c>
      <x:c r="G36" t="str">
        <x:v>customer32@example.test</x:v>
      </x:c>
      <x:c r="H36" t="str">
        <x:v>+237 677 332 432</x:v>
      </x:c>
      <x:c r="I36" s="70" t="n">
        <x:v>45818</x:v>
      </x:c>
      <x:c r="J36" t="str">
        <x:v>Standard</x:v>
      </x:c>
      <x:c r="K36" t="str">
        <x:v>Active</x:v>
      </x:c>
    </x:row>
    <x:row r="37" ht="18" customHeight="1">
      <x:c r="A37" t="str">
        <x:v>CUS0033</x:v>
      </x:c>
      <x:c r="B37" t="str">
        <x:v>Patricia</x:v>
      </x:c>
      <x:c r="C37" t="str">
        <x:v>Mboa</x:v>
      </x:c>
      <x:c r="D37" t="str"/>
      <x:c r="E37" t="str">
        <x:v>Individual</x:v>
      </x:c>
      <x:c r="F37" t="str">
        <x:v>Douala</x:v>
      </x:c>
      <x:c r="G37" t="str">
        <x:v>customer33@example.test</x:v>
      </x:c>
      <x:c r="H37" t="str">
        <x:v>+237 678 333 433</x:v>
      </x:c>
      <x:c r="I37" s="70" t="n">
        <x:v>45823</x:v>
      </x:c>
      <x:c r="J37" t="str">
        <x:v>Silver</x:v>
      </x:c>
      <x:c r="K37" t="str">
        <x:v>Active</x:v>
      </x:c>
    </x:row>
    <x:row r="38" ht="18" customHeight="1">
      <x:c r="A38" t="str">
        <x:v>CUS0034</x:v>
      </x:c>
      <x:c r="B38" t="str"/>
      <x:c r="C38" t="str"/>
      <x:c r="D38" t="str">
        <x:v>Company 34</x:v>
      </x:c>
      <x:c r="E38" t="str">
        <x:v>Retail</x:v>
      </x:c>
      <x:c r="F38" t="str">
        <x:v>Yaounde</x:v>
      </x:c>
      <x:c r="G38" t="str">
        <x:v>customer34@example.test</x:v>
      </x:c>
      <x:c r="H38" t="str">
        <x:v>+237 679 334 434</x:v>
      </x:c>
      <x:c r="I38" s="70" t="n">
        <x:v>45828</x:v>
      </x:c>
      <x:c r="J38" t="str">
        <x:v>Gold</x:v>
      </x:c>
      <x:c r="K38" t="str">
        <x:v>Active</x:v>
      </x:c>
    </x:row>
    <x:row r="39" ht="18" customHeight="1">
      <x:c r="A39" t="str">
        <x:v>CUS0035</x:v>
      </x:c>
      <x:c r="B39" t="str"/>
      <x:c r="C39" t="str"/>
      <x:c r="D39" t="str">
        <x:v>Company 35</x:v>
      </x:c>
      <x:c r="E39" t="str">
        <x:v>Corporate</x:v>
      </x:c>
      <x:c r="F39" t="str">
        <x:v>Buea</x:v>
      </x:c>
      <x:c r="G39" t="str">
        <x:v>customer35@example.test</x:v>
      </x:c>
      <x:c r="H39" t="str">
        <x:v>+237 680 335 435</x:v>
      </x:c>
      <x:c r="I39" s="70" t="n">
        <x:v>45833</x:v>
      </x:c>
      <x:c r="J39" t="str">
        <x:v>Platinum</x:v>
      </x:c>
      <x:c r="K39" t="str">
        <x:v>Active</x:v>
      </x:c>
    </x:row>
    <x:row r="40" ht="18" customHeight="1">
      <x:c r="A40" t="str">
        <x:v>CUS0036</x:v>
      </x:c>
      <x:c r="B40" t="str"/>
      <x:c r="C40" t="str"/>
      <x:c r="D40" t="str">
        <x:v>Company 36</x:v>
      </x:c>
      <x:c r="E40" t="str">
        <x:v>Wholesale</x:v>
      </x:c>
      <x:c r="F40" t="str">
        <x:v>Bafoussam</x:v>
      </x:c>
      <x:c r="G40" t="str">
        <x:v>customer36@example.test</x:v>
      </x:c>
      <x:c r="H40" t="str">
        <x:v>+237 681 336 436</x:v>
      </x:c>
      <x:c r="I40" s="70" t="n">
        <x:v>45838</x:v>
      </x:c>
      <x:c r="J40" t="str">
        <x:v>Standard</x:v>
      </x:c>
      <x:c r="K40" t="str">
        <x:v>Active</x:v>
      </x:c>
    </x:row>
    <x:row r="41" ht="18" customHeight="1">
      <x:c r="A41" t="str">
        <x:v>CUS0037</x:v>
      </x:c>
      <x:c r="B41" t="str">
        <x:v>Yvette</x:v>
      </x:c>
      <x:c r="C41" t="str">
        <x:v>Nkem</x:v>
      </x:c>
      <x:c r="D41" t="str"/>
      <x:c r="E41" t="str">
        <x:v>Individual</x:v>
      </x:c>
      <x:c r="F41" t="str">
        <x:v>Douala</x:v>
      </x:c>
      <x:c r="G41" t="str">
        <x:v>customer37@example.test</x:v>
      </x:c>
      <x:c r="H41" t="str">
        <x:v>+237 682 337 437</x:v>
      </x:c>
      <x:c r="I41" s="70" t="n">
        <x:v>45843</x:v>
      </x:c>
      <x:c r="J41" t="str">
        <x:v>Silver</x:v>
      </x:c>
      <x:c r="K41" t="str">
        <x:v>Active</x:v>
      </x:c>
    </x:row>
    <x:row r="42" ht="18" customHeight="1">
      <x:c r="A42" t="str">
        <x:v>CUS0038</x:v>
      </x:c>
      <x:c r="B42" t="str"/>
      <x:c r="C42" t="str"/>
      <x:c r="D42" t="str">
        <x:v>Company 38</x:v>
      </x:c>
      <x:c r="E42" t="str">
        <x:v>Retail</x:v>
      </x:c>
      <x:c r="F42" t="str">
        <x:v>Yaounde</x:v>
      </x:c>
      <x:c r="G42" t="str">
        <x:v>customer38@example.test</x:v>
      </x:c>
      <x:c r="H42" t="str">
        <x:v>+237 683 338 438</x:v>
      </x:c>
      <x:c r="I42" s="70" t="n">
        <x:v>45848</x:v>
      </x:c>
      <x:c r="J42" t="str">
        <x:v>Gold</x:v>
      </x:c>
      <x:c r="K42" t="str">
        <x:v>Active</x:v>
      </x:c>
    </x:row>
    <x:row r="43" ht="18" customHeight="1">
      <x:c r="A43" t="str">
        <x:v>CUS0039</x:v>
      </x:c>
      <x:c r="B43" t="str"/>
      <x:c r="C43" t="str"/>
      <x:c r="D43" t="str">
        <x:v>Company 39</x:v>
      </x:c>
      <x:c r="E43" t="str">
        <x:v>Corporate</x:v>
      </x:c>
      <x:c r="F43" t="str">
        <x:v>Buea</x:v>
      </x:c>
      <x:c r="G43" t="str">
        <x:v>customer39@example.test</x:v>
      </x:c>
      <x:c r="H43" t="str">
        <x:v>+237 684 339 439</x:v>
      </x:c>
      <x:c r="I43" s="70" t="n">
        <x:v>45853</x:v>
      </x:c>
      <x:c r="J43" t="str">
        <x:v>Platinum</x:v>
      </x:c>
      <x:c r="K43" t="str">
        <x:v>Active</x:v>
      </x:c>
    </x:row>
    <x:row r="44" ht="18" customHeight="1">
      <x:c r="A44" t="str">
        <x:v>CUS0040</x:v>
      </x:c>
      <x:c r="B44" t="str"/>
      <x:c r="C44" t="str"/>
      <x:c r="D44" t="str">
        <x:v>Company 40</x:v>
      </x:c>
      <x:c r="E44" t="str">
        <x:v>Wholesale</x:v>
      </x:c>
      <x:c r="F44" t="str">
        <x:v>Bafoussam</x:v>
      </x:c>
      <x:c r="G44" t="str">
        <x:v>customer40@example.test</x:v>
      </x:c>
      <x:c r="H44" t="str">
        <x:v>+237 685 340 440</x:v>
      </x:c>
      <x:c r="I44" s="70" t="n">
        <x:v>45858</x:v>
      </x:c>
      <x:c r="J44" t="str">
        <x:v>Standard</x:v>
      </x:c>
      <x:c r="K44" t="str">
        <x:v>Active</x:v>
      </x:c>
    </x:row>
    <x:row r="45" ht="18" customHeight="1">
      <x:c r="A45" t="str">
        <x:v>CUS0041</x:v>
      </x:c>
      <x:c r="B45" t="str">
        <x:v>David</x:v>
      </x:c>
      <x:c r="C45" t="str">
        <x:v>Mbi</x:v>
      </x:c>
      <x:c r="D45" t="str"/>
      <x:c r="E45" t="str">
        <x:v>Individual</x:v>
      </x:c>
      <x:c r="F45" t="str">
        <x:v>Douala</x:v>
      </x:c>
      <x:c r="G45" t="str">
        <x:v>customer41@example.test</x:v>
      </x:c>
      <x:c r="H45" t="str">
        <x:v>+237 686 341 441</x:v>
      </x:c>
      <x:c r="I45" s="70" t="n">
        <x:v>45863</x:v>
      </x:c>
      <x:c r="J45" t="str">
        <x:v>Silver</x:v>
      </x:c>
      <x:c r="K45" t="str">
        <x:v>Active</x:v>
      </x:c>
    </x:row>
    <x:row r="46" ht="18" customHeight="1">
      <x:c r="A46" t="str">
        <x:v>CUS0042</x:v>
      </x:c>
      <x:c r="B46" t="str"/>
      <x:c r="C46" t="str"/>
      <x:c r="D46" t="str">
        <x:v>Company 42</x:v>
      </x:c>
      <x:c r="E46" t="str">
        <x:v>Retail</x:v>
      </x:c>
      <x:c r="F46" t="str">
        <x:v>Yaounde</x:v>
      </x:c>
      <x:c r="G46" t="str">
        <x:v>customer42@example.test</x:v>
      </x:c>
      <x:c r="H46" t="str">
        <x:v>+237 687 342 442</x:v>
      </x:c>
      <x:c r="I46" s="70" t="n">
        <x:v>45868</x:v>
      </x:c>
      <x:c r="J46" t="str">
        <x:v>Gold</x:v>
      </x:c>
      <x:c r="K46" t="str">
        <x:v>Active</x:v>
      </x:c>
    </x:row>
    <x:row r="47" ht="18" customHeight="1">
      <x:c r="A47" t="str">
        <x:v>CUS0043</x:v>
      </x:c>
      <x:c r="B47" t="str"/>
      <x:c r="C47" t="str"/>
      <x:c r="D47" t="str">
        <x:v>Company 43</x:v>
      </x:c>
      <x:c r="E47" t="str">
        <x:v>Corporate</x:v>
      </x:c>
      <x:c r="F47" t="str">
        <x:v>Buea</x:v>
      </x:c>
      <x:c r="G47" t="str">
        <x:v>customer43@example.test</x:v>
      </x:c>
      <x:c r="H47" t="str">
        <x:v>+237 688 343 443</x:v>
      </x:c>
      <x:c r="I47" s="70" t="n">
        <x:v>45873</x:v>
      </x:c>
      <x:c r="J47" t="str">
        <x:v>Platinum</x:v>
      </x:c>
      <x:c r="K47" t="str">
        <x:v>Active</x:v>
      </x:c>
    </x:row>
    <x:row r="48" ht="18" customHeight="1">
      <x:c r="A48" t="str">
        <x:v>CUS0044</x:v>
      </x:c>
      <x:c r="B48" t="str"/>
      <x:c r="C48" t="str"/>
      <x:c r="D48" t="str">
        <x:v>Company 44</x:v>
      </x:c>
      <x:c r="E48" t="str">
        <x:v>Wholesale</x:v>
      </x:c>
      <x:c r="F48" t="str">
        <x:v>Bafoussam</x:v>
      </x:c>
      <x:c r="G48" t="str">
        <x:v>customer44@example.test</x:v>
      </x:c>
      <x:c r="H48" t="str">
        <x:v>+237 689 344 444</x:v>
      </x:c>
      <x:c r="I48" s="70" t="n">
        <x:v>45878</x:v>
      </x:c>
      <x:c r="J48" t="str">
        <x:v>Standard</x:v>
      </x:c>
      <x:c r="K48" t="str">
        <x:v>Active</x:v>
      </x:c>
    </x:row>
    <x:row r="49" ht="18" customHeight="1">
      <x:c r="A49" t="str">
        <x:v>CUS0045</x:v>
      </x:c>
      <x:c r="B49" t="str">
        <x:v>Henry</x:v>
      </x:c>
      <x:c r="C49" t="str">
        <x:v>Mafor</x:v>
      </x:c>
      <x:c r="D49" t="str"/>
      <x:c r="E49" t="str">
        <x:v>Individual</x:v>
      </x:c>
      <x:c r="F49" t="str">
        <x:v>Douala</x:v>
      </x:c>
      <x:c r="G49" t="str">
        <x:v>customer45@example.test</x:v>
      </x:c>
      <x:c r="H49" t="str">
        <x:v>+237 675 345 445</x:v>
      </x:c>
      <x:c r="I49" s="70" t="n">
        <x:v>45883</x:v>
      </x:c>
      <x:c r="J49" t="str">
        <x:v>Silver</x:v>
      </x:c>
      <x:c r="K49" t="str">
        <x:v>Active</x:v>
      </x:c>
    </x:row>
    <x:row r="50" ht="18" customHeight="1">
      <x:c r="A50" t="str">
        <x:v>CUS0046</x:v>
      </x:c>
      <x:c r="B50" t="str"/>
      <x:c r="C50" t="str"/>
      <x:c r="D50" t="str">
        <x:v>Company 46</x:v>
      </x:c>
      <x:c r="E50" t="str">
        <x:v>Retail</x:v>
      </x:c>
      <x:c r="F50" t="str">
        <x:v>Yaounde</x:v>
      </x:c>
      <x:c r="G50" t="str">
        <x:v>customer46@example.test</x:v>
      </x:c>
      <x:c r="H50" t="str">
        <x:v>+237 676 346 446</x:v>
      </x:c>
      <x:c r="I50" s="70" t="n">
        <x:v>45888</x:v>
      </x:c>
      <x:c r="J50" t="str">
        <x:v>Gold</x:v>
      </x:c>
      <x:c r="K50" t="str">
        <x:v>Active</x:v>
      </x:c>
    </x:row>
    <x:row r="51" ht="18" customHeight="1">
      <x:c r="A51" t="str">
        <x:v>CUS0047</x:v>
      </x:c>
      <x:c r="B51" t="str"/>
      <x:c r="C51" t="str"/>
      <x:c r="D51" t="str">
        <x:v>Company 47</x:v>
      </x:c>
      <x:c r="E51" t="str">
        <x:v>Corporate</x:v>
      </x:c>
      <x:c r="F51" t="str">
        <x:v>Buea</x:v>
      </x:c>
      <x:c r="G51" t="str">
        <x:v>customer47@example.test</x:v>
      </x:c>
      <x:c r="H51" t="str">
        <x:v>+237 677 347 447</x:v>
      </x:c>
      <x:c r="I51" s="70" t="n">
        <x:v>45893</x:v>
      </x:c>
      <x:c r="J51" t="str">
        <x:v>Platinum</x:v>
      </x:c>
      <x:c r="K51" t="str">
        <x:v>Active</x:v>
      </x:c>
    </x:row>
    <x:row r="52" ht="18" customHeight="1">
      <x:c r="A52" t="str">
        <x:v>CUS0048</x:v>
      </x:c>
      <x:c r="B52" t="str"/>
      <x:c r="C52" t="str"/>
      <x:c r="D52" t="str">
        <x:v>Company 48</x:v>
      </x:c>
      <x:c r="E52" t="str">
        <x:v>Wholesale</x:v>
      </x:c>
      <x:c r="F52" t="str">
        <x:v>Bafoussam</x:v>
      </x:c>
      <x:c r="G52" t="str">
        <x:v>customer48@example.test</x:v>
      </x:c>
      <x:c r="H52" t="str">
        <x:v>+237 678 348 448</x:v>
      </x:c>
      <x:c r="I52" s="70" t="n">
        <x:v>45898</x:v>
      </x:c>
      <x:c r="J52" t="str">
        <x:v>Standard</x:v>
      </x:c>
      <x:c r="K52" t="str">
        <x:v>Active</x:v>
      </x:c>
    </x:row>
    <x:row r="53" ht="18" customHeight="1">
      <x:c r="A53" t="str">
        <x:v>CUS0049</x:v>
      </x:c>
      <x:c r="B53" t="str">
        <x:v>Linda</x:v>
      </x:c>
      <x:c r="C53" t="str">
        <x:v>Kotto</x:v>
      </x:c>
      <x:c r="D53" t="str"/>
      <x:c r="E53" t="str">
        <x:v>Individual</x:v>
      </x:c>
      <x:c r="F53" t="str">
        <x:v>Douala</x:v>
      </x:c>
      <x:c r="G53" t="str">
        <x:v>customer49@example.test</x:v>
      </x:c>
      <x:c r="H53" t="str">
        <x:v>+237 679 349 449</x:v>
      </x:c>
      <x:c r="I53" s="70" t="n">
        <x:v>45903</x:v>
      </x:c>
      <x:c r="J53" t="str">
        <x:v>Silver</x:v>
      </x:c>
      <x:c r="K53" t="str">
        <x:v>Active</x:v>
      </x:c>
    </x:row>
    <x:row r="54" ht="18" customHeight="1">
      <x:c r="A54" t="str">
        <x:v>CUS0050</x:v>
      </x:c>
      <x:c r="B54" t="str"/>
      <x:c r="C54" t="str"/>
      <x:c r="D54" t="str">
        <x:v>Company 50</x:v>
      </x:c>
      <x:c r="E54" t="str">
        <x:v>Retail</x:v>
      </x:c>
      <x:c r="F54" t="str">
        <x:v>Yaounde</x:v>
      </x:c>
      <x:c r="G54" t="str">
        <x:v>customer50@example.test</x:v>
      </x:c>
      <x:c r="H54" t="str">
        <x:v>+237 680 350 450</x:v>
      </x:c>
      <x:c r="I54" s="70" t="n">
        <x:v>45908</x:v>
      </x:c>
      <x:c r="J54" t="str">
        <x:v>Gold</x:v>
      </x:c>
      <x:c r="K54" t="str">
        <x:v>Active</x:v>
      </x:c>
    </x:row>
    <x:row r="55" ht="18" customHeight="1">
      <x:c r="A55" t="str">
        <x:v>CUS0051</x:v>
      </x:c>
      <x:c r="B55" t="str"/>
      <x:c r="C55" t="str"/>
      <x:c r="D55" t="str">
        <x:v>Company 51</x:v>
      </x:c>
      <x:c r="E55" t="str">
        <x:v>Corporate</x:v>
      </x:c>
      <x:c r="F55" t="str">
        <x:v>Buea</x:v>
      </x:c>
      <x:c r="G55" t="str">
        <x:v>customer51@example.test</x:v>
      </x:c>
      <x:c r="H55" t="str">
        <x:v>+237 681 351 451</x:v>
      </x:c>
      <x:c r="I55" s="70" t="n">
        <x:v>45913</x:v>
      </x:c>
      <x:c r="J55" t="str">
        <x:v>Platinum</x:v>
      </x:c>
      <x:c r="K55" t="str">
        <x:v>Active</x:v>
      </x:c>
    </x:row>
    <x:row r="56" ht="18" customHeight="1">
      <x:c r="A56" t="str">
        <x:v>CUS0052</x:v>
      </x:c>
      <x:c r="B56" t="str"/>
      <x:c r="C56" t="str"/>
      <x:c r="D56" t="str">
        <x:v>Company 52</x:v>
      </x:c>
      <x:c r="E56" t="str">
        <x:v>Wholesale</x:v>
      </x:c>
      <x:c r="F56" t="str">
        <x:v>Bafoussam</x:v>
      </x:c>
      <x:c r="G56" t="str">
        <x:v>customer52@example.test</x:v>
      </x:c>
      <x:c r="H56" t="str">
        <x:v>+237 682 352 452</x:v>
      </x:c>
      <x:c r="I56" s="70" t="n">
        <x:v>45918</x:v>
      </x:c>
      <x:c r="J56" t="str">
        <x:v>Standard</x:v>
      </x:c>
      <x:c r="K56" t="str">
        <x:v>Active</x:v>
      </x:c>
    </x:row>
    <x:row r="57" ht="18" customHeight="1">
      <x:c r="A57" t="str">
        <x:v>CUS0053</x:v>
      </x:c>
      <x:c r="B57" t="str">
        <x:v>Patricia</x:v>
      </x:c>
      <x:c r="C57" t="str">
        <x:v>Mboa</x:v>
      </x:c>
      <x:c r="D57" t="str"/>
      <x:c r="E57" t="str">
        <x:v>Individual</x:v>
      </x:c>
      <x:c r="F57" t="str">
        <x:v>Douala</x:v>
      </x:c>
      <x:c r="G57" t="str">
        <x:v>customer53@example.test</x:v>
      </x:c>
      <x:c r="H57" t="str">
        <x:v>+237 683 353 453</x:v>
      </x:c>
      <x:c r="I57" s="70" t="n">
        <x:v>45923</x:v>
      </x:c>
      <x:c r="J57" t="str">
        <x:v>Silver</x:v>
      </x:c>
      <x:c r="K57" t="str">
        <x:v>Active</x:v>
      </x:c>
    </x:row>
    <x:row r="58" ht="18" customHeight="1">
      <x:c r="A58" t="str">
        <x:v>CUS0054</x:v>
      </x:c>
      <x:c r="B58" t="str"/>
      <x:c r="C58" t="str"/>
      <x:c r="D58" t="str">
        <x:v>Company 54</x:v>
      </x:c>
      <x:c r="E58" t="str">
        <x:v>Retail</x:v>
      </x:c>
      <x:c r="F58" t="str">
        <x:v>Yaounde</x:v>
      </x:c>
      <x:c r="G58" t="str">
        <x:v>customer54@example.test</x:v>
      </x:c>
      <x:c r="H58" t="str">
        <x:v>+237 684 354 454</x:v>
      </x:c>
      <x:c r="I58" s="70" t="n">
        <x:v>45928</x:v>
      </x:c>
      <x:c r="J58" t="str">
        <x:v>Gold</x:v>
      </x:c>
      <x:c r="K58" t="str">
        <x:v>Active</x:v>
      </x:c>
    </x:row>
    <x:row r="59" ht="18" customHeight="1">
      <x:c r="A59" t="str">
        <x:v>CUS0055</x:v>
      </x:c>
      <x:c r="B59" t="str"/>
      <x:c r="C59" t="str"/>
      <x:c r="D59" t="str">
        <x:v>Company 55</x:v>
      </x:c>
      <x:c r="E59" t="str">
        <x:v>Corporate</x:v>
      </x:c>
      <x:c r="F59" t="str">
        <x:v>Buea</x:v>
      </x:c>
      <x:c r="G59" t="str">
        <x:v>customer55@example.test</x:v>
      </x:c>
      <x:c r="H59" t="str">
        <x:v>+237 685 355 455</x:v>
      </x:c>
      <x:c r="I59" s="70" t="n">
        <x:v>45933</x:v>
      </x:c>
      <x:c r="J59" t="str">
        <x:v>Platinum</x:v>
      </x:c>
      <x:c r="K59" t="str">
        <x:v>Active</x:v>
      </x:c>
    </x:row>
    <x:row r="60" ht="18" customHeight="1">
      <x:c r="A60" t="str">
        <x:v>CUS0056</x:v>
      </x:c>
      <x:c r="B60" t="str"/>
      <x:c r="C60" t="str"/>
      <x:c r="D60" t="str">
        <x:v>Company 56</x:v>
      </x:c>
      <x:c r="E60" t="str">
        <x:v>Wholesale</x:v>
      </x:c>
      <x:c r="F60" t="str">
        <x:v>Bafoussam</x:v>
      </x:c>
      <x:c r="G60" t="str">
        <x:v>customer56@example.test</x:v>
      </x:c>
      <x:c r="H60" t="str">
        <x:v>+237 686 356 456</x:v>
      </x:c>
      <x:c r="I60" s="70" t="n">
        <x:v>45938</x:v>
      </x:c>
      <x:c r="J60" t="str">
        <x:v>Standard</x:v>
      </x:c>
      <x:c r="K60" t="str">
        <x:v>Active</x:v>
      </x:c>
    </x:row>
    <x:row r="61" ht="18" customHeight="1">
      <x:c r="A61" t="str">
        <x:v>CUS0057</x:v>
      </x:c>
      <x:c r="B61" t="str">
        <x:v>Yvette</x:v>
      </x:c>
      <x:c r="C61" t="str">
        <x:v>Nkem</x:v>
      </x:c>
      <x:c r="D61" t="str"/>
      <x:c r="E61" t="str">
        <x:v>Individual</x:v>
      </x:c>
      <x:c r="F61" t="str">
        <x:v>Douala</x:v>
      </x:c>
      <x:c r="G61" t="str">
        <x:v>customer57@example.test</x:v>
      </x:c>
      <x:c r="H61" t="str">
        <x:v>+237 687 357 457</x:v>
      </x:c>
      <x:c r="I61" s="70" t="n">
        <x:v>45943</x:v>
      </x:c>
      <x:c r="J61" t="str">
        <x:v>Silver</x:v>
      </x:c>
      <x:c r="K61" t="str">
        <x:v>Active</x:v>
      </x:c>
    </x:row>
    <x:row r="62" ht="18" customHeight="1">
      <x:c r="A62" t="str">
        <x:v>CUS0058</x:v>
      </x:c>
      <x:c r="B62" t="str"/>
      <x:c r="C62" t="str"/>
      <x:c r="D62" t="str">
        <x:v>Company 58</x:v>
      </x:c>
      <x:c r="E62" t="str">
        <x:v>Retail</x:v>
      </x:c>
      <x:c r="F62" t="str">
        <x:v>Yaounde</x:v>
      </x:c>
      <x:c r="G62" t="str">
        <x:v>customer58@example.test</x:v>
      </x:c>
      <x:c r="H62" t="str">
        <x:v>+237 688 358 458</x:v>
      </x:c>
      <x:c r="I62" s="70" t="n">
        <x:v>45948</x:v>
      </x:c>
      <x:c r="J62" t="str">
        <x:v>Gold</x:v>
      </x:c>
      <x:c r="K62" t="str">
        <x:v>Active</x:v>
      </x:c>
    </x:row>
    <x:row r="63" ht="18" customHeight="1">
      <x:c r="A63" t="str">
        <x:v>CUS0059</x:v>
      </x:c>
      <x:c r="B63" t="str"/>
      <x:c r="C63" t="str"/>
      <x:c r="D63" t="str">
        <x:v>Company 59</x:v>
      </x:c>
      <x:c r="E63" t="str">
        <x:v>Corporate</x:v>
      </x:c>
      <x:c r="F63" t="str">
        <x:v>Buea</x:v>
      </x:c>
      <x:c r="G63" t="str">
        <x:v>customer59@example.test</x:v>
      </x:c>
      <x:c r="H63" t="str">
        <x:v>+237 689 359 459</x:v>
      </x:c>
      <x:c r="I63" s="70" t="n">
        <x:v>45953</x:v>
      </x:c>
      <x:c r="J63" t="str">
        <x:v>Platinum</x:v>
      </x:c>
      <x:c r="K63" t="str">
        <x:v>Active</x:v>
      </x:c>
    </x:row>
    <x:row r="64" ht="18" customHeight="1">
      <x:c r="A64" t="str">
        <x:v>CUS0060</x:v>
      </x:c>
      <x:c r="B64" t="str"/>
      <x:c r="C64" t="str"/>
      <x:c r="D64" t="str">
        <x:v>Company 60</x:v>
      </x:c>
      <x:c r="E64" t="str">
        <x:v>Wholesale</x:v>
      </x:c>
      <x:c r="F64" t="str">
        <x:v>Bafoussam</x:v>
      </x:c>
      <x:c r="G64" t="str">
        <x:v>customer60@example.test</x:v>
      </x:c>
      <x:c r="H64" t="str">
        <x:v>+237 675 360 460</x:v>
      </x:c>
      <x:c r="I64" s="70" t="n">
        <x:v>45958</x:v>
      </x:c>
      <x:c r="J64" t="str">
        <x:v>Standard</x:v>
      </x:c>
      <x:c r="K64" t="str">
        <x:v>Active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9cbb1ef95e5c49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25" hidden="0" customWidth="1"/>
    <x:col min="3" max="3" width="11" hidden="0" customWidth="1"/>
    <x:col min="4" max="4" width="22" hidden="0" customWidth="1"/>
    <x:col min="5" max="5" width="18" hidden="0" customWidth="1"/>
    <x:col min="6" max="6" width="8.630000114440918" hidden="0" customWidth="1"/>
    <x:col min="7" max="7" width="30" hidden="0" customWidth="1"/>
    <x:col min="8" max="8" width="20" hidden="0" customWidth="1"/>
    <x:col min="9" max="9" width="16.1299991607666" hidden="0" customWidth="1"/>
    <x:col min="10" max="10" width="13.630000114440918" hidden="0" customWidth="1"/>
    <x:col min="11" max="11" width="7.75" hidden="0" customWidth="1"/>
  </x:cols>
  <x:sheetData>
    <x:row r="1" ht="30" customHeight="1">
      <x:c r="A1" s="5" t="str">
        <x:v>Customers — Messy Practice Data</x:v>
      </x:c>
    </x:row>
    <x:row r="3">
      <x:c r="A3" s="82" t="str">
        <x:v>INTENTIONALLY MESSY DATASET — FOR CLEANING PRACTICE</x:v>
      </x:c>
    </x:row>
    <x:row r="4">
      <x:c r="A4" s="51" t="str">
        <x:v>Customer ID</x:v>
      </x:c>
      <x:c r="B4" s="52" t="str">
        <x:v>First Name</x:v>
      </x:c>
      <x:c r="C4" s="52" t="str">
        <x:v>Last Name</x:v>
      </x:c>
      <x:c r="D4" s="52" t="str">
        <x:v>Company Name</x:v>
      </x:c>
      <x:c r="E4" s="52" t="str">
        <x:v>Customer Type</x:v>
      </x:c>
      <x:c r="F4" s="52" t="str">
        <x:v>City</x:v>
      </x:c>
      <x:c r="G4" s="52" t="str">
        <x:v>Email</x:v>
      </x:c>
      <x:c r="H4" s="52" t="str">
        <x:v>Phone</x:v>
      </x:c>
      <x:c r="I4" s="52" t="str">
        <x:v>Registration Date</x:v>
      </x:c>
      <x:c r="J4" s="52" t="str">
        <x:v>Loyalty Status</x:v>
      </x:c>
      <x:c r="K4" s="53" t="str">
        <x:v>Status</x:v>
      </x:c>
    </x:row>
    <x:row r="5" ht="18" customHeight="1">
      <x:c r="A5" t="str">
        <x:v>CUS0001</x:v>
      </x:c>
      <x:c r="B5" t="str">
        <x:v>David</x:v>
      </x:c>
      <x:c r="C5" t="str">
        <x:v>Mbi</x:v>
      </x:c>
      <x:c r="D5" t="str"/>
      <x:c r="E5" t="str">
        <x:v>Individual</x:v>
      </x:c>
      <x:c r="F5" t="str">
        <x:v>Douala</x:v>
      </x:c>
      <x:c r="G5" t="str">
        <x:v>customer1@example.test</x:v>
      </x:c>
      <x:c r="H5" t="str">
        <x:v>+237 676 301 401</x:v>
      </x:c>
      <x:c r="I5" t="n">
        <x:v>45663</x:v>
      </x:c>
      <x:c r="J5" t="str">
        <x:v>Silver</x:v>
      </x:c>
      <x:c r="K5" t="str">
        <x:v>Active</x:v>
      </x:c>
    </x:row>
    <x:row r="6" ht="18" customHeight="1">
      <x:c r="A6" t="str">
        <x:v>CUS0002</x:v>
      </x:c>
      <x:c r="B6" t="str">
        <x:v> grace</x:v>
      </x:c>
      <x:c r="C6" t="str"/>
      <x:c r="D6" t="str">
        <x:v>Company 2</x:v>
      </x:c>
      <x:c r="E6" t="str">
        <x:v>Retail</x:v>
      </x:c>
      <x:c r="F6" t="str">
        <x:v>Yaounde</x:v>
      </x:c>
      <x:c r="G6" t="str">
        <x:v>customer2@example.test</x:v>
      </x:c>
      <x:c r="H6" t="str">
        <x:v>+237 677 302 402</x:v>
      </x:c>
      <x:c r="I6" t="n">
        <x:v>45668</x:v>
      </x:c>
      <x:c r="J6" t="str">
        <x:v>Gold</x:v>
      </x:c>
      <x:c r="K6" t="str">
        <x:v>Active</x:v>
      </x:c>
    </x:row>
    <x:row r="7" ht="18" customHeight="1">
      <x:c r="A7" t="str">
        <x:v>CUS0003</x:v>
      </x:c>
      <x:c r="B7" t="str"/>
      <x:c r="C7" t="str"/>
      <x:c r="D7" t="str">
        <x:v>Company 3</x:v>
      </x:c>
      <x:c r="E7" t="str">
        <x:v>Corporate</x:v>
      </x:c>
      <x:c r="F7" t="str">
        <x:v>Buea</x:v>
      </x:c>
      <x:c r="G7" t="str">
        <x:v>customer3@example.test</x:v>
      </x:c>
      <x:c r="H7" t="str">
        <x:v>+237 678 303 403</x:v>
      </x:c>
      <x:c r="I7" t="n">
        <x:v>45673</x:v>
      </x:c>
      <x:c r="J7" t="str">
        <x:v>Platinum</x:v>
      </x:c>
      <x:c r="K7" t="str">
        <x:v>Active</x:v>
      </x:c>
    </x:row>
    <x:row r="8" ht="18" customHeight="1">
      <x:c r="A8" t="str">
        <x:v>CUS0004</x:v>
      </x:c>
      <x:c r="B8" t="str"/>
      <x:c r="C8" t="str"/>
      <x:c r="D8" t="str">
        <x:v>Company 4</x:v>
      </x:c>
      <x:c r="E8" t="str">
        <x:v>Wholesale</x:v>
      </x:c>
      <x:c r="F8" t="str">
        <x:v>douala</x:v>
      </x:c>
      <x:c r="G8" t="str">
        <x:v>customer4@example.test</x:v>
      </x:c>
      <x:c r="H8" t="str">
        <x:v>+237 679 304 404</x:v>
      </x:c>
      <x:c r="I8" t="n">
        <x:v>45678</x:v>
      </x:c>
      <x:c r="J8" t="str">
        <x:v>Standard</x:v>
      </x:c>
      <x:c r="K8" t="str">
        <x:v>Active</x:v>
      </x:c>
    </x:row>
    <x:row r="9" ht="18" customHeight="1">
      <x:c r="A9" t="str">
        <x:v>CUS0005</x:v>
      </x:c>
      <x:c r="B9" t="str">
        <x:v>Henry</x:v>
      </x:c>
      <x:c r="C9" t="str">
        <x:v>Mafor</x:v>
      </x:c>
      <x:c r="D9" t="str"/>
      <x:c r="E9" t="str">
        <x:v>Individual</x:v>
      </x:c>
      <x:c r="F9" t="str">
        <x:v>Douala</x:v>
      </x:c>
      <x:c r="G9" t="str">
        <x:v>customer5@example.test</x:v>
      </x:c>
      <x:c r="H9" t="str">
        <x:v>+237 680 305 405</x:v>
      </x:c>
      <x:c r="I9" t="n">
        <x:v>45683</x:v>
      </x:c>
      <x:c r="J9" t="str">
        <x:v>Silver</x:v>
      </x:c>
      <x:c r="K9" t="str">
        <x:v>Active</x:v>
      </x:c>
    </x:row>
    <x:row r="10" ht="18" customHeight="1">
      <x:c r="A10" t="str">
        <x:v>CUS0006</x:v>
      </x:c>
      <x:c r="B10" t="str"/>
      <x:c r="C10" t="str"/>
      <x:c r="D10" t="str">
        <x:v>Company 6</x:v>
      </x:c>
      <x:c r="E10" t="str">
        <x:v>Retail</x:v>
      </x:c>
      <x:c r="F10" t="str">
        <x:v>Yaounde</x:v>
      </x:c>
      <x:c r="G10" t="str">
        <x:v>customer6example.test</x:v>
      </x:c>
      <x:c r="H10" t="str">
        <x:v>+237 681 306 406</x:v>
      </x:c>
      <x:c r="I10" t="n">
        <x:v>45688</x:v>
      </x:c>
      <x:c r="J10" t="str">
        <x:v>Gold</x:v>
      </x:c>
      <x:c r="K10" t="str">
        <x:v>Active</x:v>
      </x:c>
    </x:row>
    <x:row r="11" ht="18" customHeight="1">
      <x:c r="A11" t="str">
        <x:v>CUS0007</x:v>
      </x:c>
      <x:c r="B11" t="str"/>
      <x:c r="C11" t="str"/>
      <x:c r="D11" t="str">
        <x:v>Company 7</x:v>
      </x:c>
      <x:c r="E11" t="str">
        <x:v>Corporate</x:v>
      </x:c>
      <x:c r="F11" t="str">
        <x:v>Buea</x:v>
      </x:c>
      <x:c r="G11" t="str">
        <x:v>customer7@example.test</x:v>
      </x:c>
      <x:c r="H11" t="str">
        <x:v>+237 682 307 407</x:v>
      </x:c>
      <x:c r="I11" t="n">
        <x:v>45693</x:v>
      </x:c>
      <x:c r="J11" t="str">
        <x:v>Platinum</x:v>
      </x:c>
      <x:c r="K11" t="str">
        <x:v>Active</x:v>
      </x:c>
    </x:row>
    <x:row r="12" ht="18" customHeight="1">
      <x:c r="A12" t="str">
        <x:v>CUS0008</x:v>
      </x:c>
      <x:c r="B12" t="str"/>
      <x:c r="C12" t="str"/>
      <x:c r="D12" t="str">
        <x:v>Company 8</x:v>
      </x:c>
      <x:c r="E12" t="str">
        <x:v>Wholesale</x:v>
      </x:c>
      <x:c r="F12" t="str">
        <x:v>Bafoussam</x:v>
      </x:c>
      <x:c r="G12" t="str">
        <x:v>customer8@example.test</x:v>
      </x:c>
      <x:c r="H12" t="str">
        <x:v>+237 683 308 408</x:v>
      </x:c>
      <x:c r="I12" t="n">
        <x:v>45698</x:v>
      </x:c>
      <x:c r="J12" t="str">
        <x:v>Standard</x:v>
      </x:c>
      <x:c r="K12" t="str">
        <x:v>Active</x:v>
      </x:c>
    </x:row>
    <x:row r="13" ht="18" customHeight="1">
      <x:c r="A13" t="str">
        <x:v>CUS0009</x:v>
      </x:c>
      <x:c r="B13" t="str">
        <x:v>Linda</x:v>
      </x:c>
      <x:c r="C13" t="str">
        <x:v>Kotto</x:v>
      </x:c>
      <x:c r="D13" t="str"/>
      <x:c r="E13" t="str">
        <x:v>Individual</x:v>
      </x:c>
      <x:c r="F13" t="str">
        <x:v>Douala</x:v>
      </x:c>
      <x:c r="G13" t="str">
        <x:v>customer9@example.test</x:v>
      </x:c>
      <x:c r="H13" t="str"/>
      <x:c r="I13" t="n">
        <x:v>45703</x:v>
      </x:c>
      <x:c r="J13" t="str">
        <x:v>Silver</x:v>
      </x:c>
      <x:c r="K13" t="str">
        <x:v>Active</x:v>
      </x:c>
    </x:row>
    <x:row r="14" ht="18" customHeight="1">
      <x:c r="A14" t="str">
        <x:v>CUS0010</x:v>
      </x:c>
      <x:c r="B14" t="str"/>
      <x:c r="C14" t="str"/>
      <x:c r="D14" t="str">
        <x:v>Company 10</x:v>
      </x:c>
      <x:c r="E14" t="str">
        <x:v>Retail</x:v>
      </x:c>
      <x:c r="F14" t="str">
        <x:v>Yaounde</x:v>
      </x:c>
      <x:c r="G14" t="str">
        <x:v>customer10@example.test</x:v>
      </x:c>
      <x:c r="H14" t="str">
        <x:v>+237 685 310 410</x:v>
      </x:c>
      <x:c r="I14" t="n">
        <x:v>45708</x:v>
      </x:c>
      <x:c r="J14" t="str">
        <x:v>Gold</x:v>
      </x:c>
      <x:c r="K14" t="str">
        <x:v>Active</x:v>
      </x:c>
    </x:row>
    <x:row r="15" ht="18" customHeight="1">
      <x:c r="A15" t="str">
        <x:v>CUS0011</x:v>
      </x:c>
      <x:c r="B15" t="str"/>
      <x:c r="C15" t="str"/>
      <x:c r="D15" t="str">
        <x:v>Company 11</x:v>
      </x:c>
      <x:c r="E15" t="str">
        <x:v>Corporate</x:v>
      </x:c>
      <x:c r="F15" t="str">
        <x:v>Buea</x:v>
      </x:c>
      <x:c r="G15" t="str">
        <x:v>customer11@example.test</x:v>
      </x:c>
      <x:c r="H15" t="str">
        <x:v>+237 686 311 411</x:v>
      </x:c>
      <x:c r="I15" t="str">
        <x:v>2025/02/30</x:v>
      </x:c>
      <x:c r="J15" t="str">
        <x:v>Platinum</x:v>
      </x:c>
      <x:c r="K15" t="str">
        <x:v>Active</x:v>
      </x:c>
    </x:row>
    <x:row r="16" ht="18" customHeight="1">
      <x:c r="A16" t="str">
        <x:v>CUS0012</x:v>
      </x:c>
      <x:c r="B16" t="str"/>
      <x:c r="C16" t="str"/>
      <x:c r="D16" t="str">
        <x:v>Company 12</x:v>
      </x:c>
      <x:c r="E16" t="str">
        <x:v>Wholesale</x:v>
      </x:c>
      <x:c r="F16" t="str">
        <x:v>Bafoussam</x:v>
      </x:c>
      <x:c r="G16" t="str">
        <x:v>customer12@example.test</x:v>
      </x:c>
      <x:c r="H16" t="str">
        <x:v>+237 687 312 412</x:v>
      </x:c>
      <x:c r="I16" t="n">
        <x:v>45718</x:v>
      </x:c>
      <x:c r="J16" t="str">
        <x:v>Standard</x:v>
      </x:c>
      <x:c r="K16" t="str">
        <x:v>Active</x:v>
      </x:c>
    </x:row>
    <x:row r="17" ht="18" customHeight="1">
      <x:c r="A17" t="str">
        <x:v>CUS0013</x:v>
      </x:c>
      <x:c r="B17" t="str">
        <x:v>Patricia</x:v>
      </x:c>
      <x:c r="C17" t="str">
        <x:v>Mboa</x:v>
      </x:c>
      <x:c r="D17" t="str"/>
      <x:c r="E17" t="str">
        <x:v>Individual</x:v>
      </x:c>
      <x:c r="F17" t="str">
        <x:v>Douala</x:v>
      </x:c>
      <x:c r="G17" t="str">
        <x:v>customer13@example.test</x:v>
      </x:c>
      <x:c r="H17" t="str">
        <x:v>+237 688 313 413</x:v>
      </x:c>
      <x:c r="I17" t="n">
        <x:v>45723</x:v>
      </x:c>
      <x:c r="J17" t="str">
        <x:v>Silver</x:v>
      </x:c>
      <x:c r="K17" t="str">
        <x:v>Active</x:v>
      </x:c>
    </x:row>
    <x:row r="18" ht="18" customHeight="1">
      <x:c r="A18" t="str">
        <x:v>CUS0014</x:v>
      </x:c>
      <x:c r="B18" t="str"/>
      <x:c r="C18" t="str"/>
      <x:c r="D18" t="str">
        <x:v>Company 14</x:v>
      </x:c>
      <x:c r="E18" t="str">
        <x:v>Retail</x:v>
      </x:c>
      <x:c r="F18" t="str">
        <x:v>Yaounde</x:v>
      </x:c>
      <x:c r="G18" t="str">
        <x:v>customer14@example.test</x:v>
      </x:c>
      <x:c r="H18" t="str">
        <x:v>+237 689 314 414</x:v>
      </x:c>
      <x:c r="I18" t="n">
        <x:v>45728</x:v>
      </x:c>
      <x:c r="J18" t="str">
        <x:v>gold </x:v>
      </x:c>
      <x:c r="K18" t="str">
        <x:v>Active</x:v>
      </x:c>
    </x:row>
    <x:row r="19" ht="18" customHeight="1">
      <x:c r="A19" t="str">
        <x:v>CUS0015</x:v>
      </x:c>
      <x:c r="B19" t="str"/>
      <x:c r="C19" t="str"/>
      <x:c r="D19" t="str">
        <x:v>Company 15</x:v>
      </x:c>
      <x:c r="E19" t="str">
        <x:v>Corporate</x:v>
      </x:c>
      <x:c r="F19" t="str">
        <x:v>Buea</x:v>
      </x:c>
      <x:c r="G19" t="str">
        <x:v>customer15@example.test</x:v>
      </x:c>
      <x:c r="H19" t="str">
        <x:v>+237 675 315 415</x:v>
      </x:c>
      <x:c r="I19" t="n">
        <x:v>45733</x:v>
      </x:c>
      <x:c r="J19" t="str">
        <x:v>Platinum</x:v>
      </x:c>
      <x:c r="K19" t="str">
        <x:v>Active</x:v>
      </x:c>
    </x:row>
    <x:row r="20" ht="18" customHeight="1">
      <x:c r="A20" t="str">
        <x:v>CUS0016</x:v>
      </x:c>
      <x:c r="B20" t="str"/>
      <x:c r="C20" t="str"/>
      <x:c r="D20" t="str">
        <x:v>Company 16</x:v>
      </x:c>
      <x:c r="E20" t="str">
        <x:v>Wholesale</x:v>
      </x:c>
      <x:c r="F20" t="str">
        <x:v>Bafoussam</x:v>
      </x:c>
      <x:c r="G20" t="str">
        <x:v>customer16@example.test</x:v>
      </x:c>
      <x:c r="H20" t="str">
        <x:v>+237 676 316 416</x:v>
      </x:c>
      <x:c r="I20" t="n">
        <x:v>45738</x:v>
      </x:c>
      <x:c r="J20" t="str">
        <x:v>Standard</x:v>
      </x:c>
      <x:c r="K20" t="str">
        <x:v>Active</x:v>
      </x:c>
    </x:row>
    <x:row r="21" ht="18" customHeight="1">
      <x:c r="A21" t="str">
        <x:v>CUS0017</x:v>
      </x:c>
      <x:c r="B21" t="str">
        <x:v>Yvette</x:v>
      </x:c>
      <x:c r="C21" t="str">
        <x:v>Nkem</x:v>
      </x:c>
      <x:c r="D21" t="str"/>
      <x:c r="E21" t="str">
        <x:v>corporate</x:v>
      </x:c>
      <x:c r="F21" t="str">
        <x:v>Douala</x:v>
      </x:c>
      <x:c r="G21" t="str">
        <x:v>customer17@example.test</x:v>
      </x:c>
      <x:c r="H21" t="str">
        <x:v>+237 677 317 417</x:v>
      </x:c>
      <x:c r="I21" t="n">
        <x:v>45743</x:v>
      </x:c>
      <x:c r="J21" t="str">
        <x:v>Silver</x:v>
      </x:c>
      <x:c r="K21" t="str">
        <x:v>Active</x:v>
      </x:c>
    </x:row>
    <x:row r="22" ht="18" customHeight="1">
      <x:c r="A22" t="str">
        <x:v>CUS0018</x:v>
      </x:c>
      <x:c r="B22" t="str"/>
      <x:c r="C22" t="str"/>
      <x:c r="D22" t="str">
        <x:v>Company 18</x:v>
      </x:c>
      <x:c r="E22" t="str">
        <x:v>Retail</x:v>
      </x:c>
      <x:c r="F22" t="str">
        <x:v>Yaounde</x:v>
      </x:c>
      <x:c r="G22" t="str">
        <x:v>customer18@example.test</x:v>
      </x:c>
      <x:c r="H22" t="str">
        <x:v>+237 678 318 418</x:v>
      </x:c>
      <x:c r="I22" t="n">
        <x:v>45748</x:v>
      </x:c>
      <x:c r="J22" t="str">
        <x:v>Gold</x:v>
      </x:c>
      <x:c r="K22" t="str">
        <x:v>Active</x:v>
      </x:c>
    </x:row>
    <x:row r="23" ht="18" customHeight="1">
      <x:c r="A23" t="str">
        <x:v>CUS0019</x:v>
      </x:c>
      <x:c r="B23" t="str"/>
      <x:c r="C23" t="str"/>
      <x:c r="D23" t="str">
        <x:v>Company 19</x:v>
      </x:c>
      <x:c r="E23" t="str">
        <x:v>Corporate</x:v>
      </x:c>
      <x:c r="F23" t="str">
        <x:v>Buea</x:v>
      </x:c>
      <x:c r="G23" t="str">
        <x:v>customer19@example.test</x:v>
      </x:c>
      <x:c r="H23" t="str">
        <x:v>+237 679 319 419</x:v>
      </x:c>
      <x:c r="I23" t="n">
        <x:v>45753</x:v>
      </x:c>
      <x:c r="J23" t="str">
        <x:v>Platinum</x:v>
      </x:c>
      <x:c r="K23" t="str">
        <x:v>Active</x:v>
      </x:c>
    </x:row>
    <x:row r="24" ht="18" customHeight="1">
      <x:c r="A24" t="str">
        <x:v>CUS0020</x:v>
      </x:c>
      <x:c r="B24" t="str"/>
      <x:c r="C24" t="str"/>
      <x:c r="D24" t="str">
        <x:v>Company 20</x:v>
      </x:c>
      <x:c r="E24" t="str">
        <x:v>Wholesale</x:v>
      </x:c>
      <x:c r="F24" t="str">
        <x:v>Younde</x:v>
      </x:c>
      <x:c r="G24" t="str">
        <x:v>customer20@example.test</x:v>
      </x:c>
      <x:c r="H24" t="str">
        <x:v>+237 680 320 420</x:v>
      </x:c>
      <x:c r="I24" t="n">
        <x:v>45758</x:v>
      </x:c>
      <x:c r="J24" t="str">
        <x:v>Standard</x:v>
      </x:c>
      <x:c r="K24" t="str">
        <x:v>Active</x:v>
      </x:c>
    </x:row>
    <x:row r="25" ht="18" customHeight="1">
      <x:c r="A25" t="str">
        <x:v>CUS0021</x:v>
      </x:c>
      <x:c r="B25" t="str">
        <x:v>David</x:v>
      </x:c>
      <x:c r="C25" t="str">
        <x:v>Mbi</x:v>
      </x:c>
      <x:c r="D25" t="str"/>
      <x:c r="E25" t="str">
        <x:v>Individual</x:v>
      </x:c>
      <x:c r="F25" t="str">
        <x:v>Douala</x:v>
      </x:c>
      <x:c r="G25" t="str">
        <x:v>customer21@example.test</x:v>
      </x:c>
      <x:c r="H25" t="str">
        <x:v>+237 681 321 421</x:v>
      </x:c>
      <x:c r="I25" t="n">
        <x:v>45763</x:v>
      </x:c>
      <x:c r="J25" t="str">
        <x:v>Silver</x:v>
      </x:c>
      <x:c r="K25" t="str">
        <x:v>Active</x:v>
      </x:c>
    </x:row>
    <x:row r="26" ht="18" customHeight="1">
      <x:c r="A26" t="str">
        <x:v>CUS0022</x:v>
      </x:c>
      <x:c r="B26" t="str"/>
      <x:c r="C26" t="str"/>
      <x:c r="D26" t="str">
        <x:v>Company 22</x:v>
      </x:c>
      <x:c r="E26" t="str">
        <x:v>Retail</x:v>
      </x:c>
      <x:c r="F26" t="str">
        <x:v>Yaounde</x:v>
      </x:c>
      <x:c r="G26" t="str">
        <x:v>customer22@example.test</x:v>
      </x:c>
      <x:c r="H26" t="str">
        <x:v>+237 682 322 422</x:v>
      </x:c>
      <x:c r="I26" t="n">
        <x:v>45768</x:v>
      </x:c>
      <x:c r="J26" t="str">
        <x:v>Gold</x:v>
      </x:c>
      <x:c r="K26" t="str">
        <x:v>Active</x:v>
      </x:c>
    </x:row>
    <x:row r="27" ht="18" customHeight="1">
      <x:c r="A27" t="str">
        <x:v>CUS0023</x:v>
      </x:c>
      <x:c r="B27" t="str"/>
      <x:c r="C27" t="str"/>
      <x:c r="D27" t="str">
        <x:v>Company 23</x:v>
      </x:c>
      <x:c r="E27" t="str">
        <x:v>Corporate</x:v>
      </x:c>
      <x:c r="F27" t="str">
        <x:v>Buea</x:v>
      </x:c>
      <x:c r="G27" t="str">
        <x:v>customer23@example.test</x:v>
      </x:c>
      <x:c r="H27" t="str">
        <x:v>+237 683 323 423</x:v>
      </x:c>
      <x:c r="I27" t="n">
        <x:v>45773</x:v>
      </x:c>
      <x:c r="J27" t="str">
        <x:v>Platinum</x:v>
      </x:c>
      <x:c r="K27" t="str">
        <x:v>Active</x:v>
      </x:c>
    </x:row>
    <x:row r="28" ht="18" customHeight="1">
      <x:c r="A28" t="str">
        <x:v>CUS0024</x:v>
      </x:c>
      <x:c r="B28" t="str"/>
      <x:c r="C28" t="str"/>
      <x:c r="D28" t="str">
        <x:v>Company 24</x:v>
      </x:c>
      <x:c r="E28" t="str">
        <x:v>Wholesale</x:v>
      </x:c>
      <x:c r="F28" t="str">
        <x:v>Bafoussam</x:v>
      </x:c>
      <x:c r="G28" t="str">
        <x:v>customer24@example.test</x:v>
      </x:c>
      <x:c r="H28" t="str">
        <x:v>+237 684 324 424</x:v>
      </x:c>
      <x:c r="I28" t="n">
        <x:v>45778</x:v>
      </x:c>
      <x:c r="J28" t="str">
        <x:v>Standard</x:v>
      </x:c>
      <x:c r="K28" t="str">
        <x:v>inactive</x:v>
      </x:c>
    </x:row>
    <x:row r="29" ht="18" customHeight="1">
      <x:c r="A29" t="str">
        <x:v>CUS0025</x:v>
      </x:c>
      <x:c r="B29" t="str">
        <x:v>Henry</x:v>
      </x:c>
      <x:c r="C29" t="str">
        <x:v>Mafor</x:v>
      </x:c>
      <x:c r="D29" t="str"/>
      <x:c r="E29" t="str">
        <x:v>Individual</x:v>
      </x:c>
      <x:c r="F29" t="str">
        <x:v>Douala</x:v>
      </x:c>
      <x:c r="G29" t="str">
        <x:v>customer25@example.test</x:v>
      </x:c>
      <x:c r="H29" t="str">
        <x:v>+237 685 325 425</x:v>
      </x:c>
      <x:c r="I29" t="n">
        <x:v>45783</x:v>
      </x:c>
      <x:c r="J29" t="str">
        <x:v>Silver</x:v>
      </x:c>
      <x:c r="K29" t="str">
        <x:v>Active</x:v>
      </x:c>
    </x:row>
    <x:row r="30" ht="18" customHeight="1">
      <x:c r="A30" t="str">
        <x:v>CUS0026</x:v>
      </x:c>
      <x:c r="B30" t="str"/>
      <x:c r="C30" t="str"/>
      <x:c r="D30" t="str">
        <x:v>Company 26</x:v>
      </x:c>
      <x:c r="E30" t="str">
        <x:v>Retail</x:v>
      </x:c>
      <x:c r="F30" t="str">
        <x:v>Yaounde</x:v>
      </x:c>
      <x:c r="G30" t="str">
        <x:v>customer26@example.test</x:v>
      </x:c>
      <x:c r="H30" t="str">
        <x:v>+237 686 326 426</x:v>
      </x:c>
      <x:c r="I30" t="n">
        <x:v>45788</x:v>
      </x:c>
      <x:c r="J30" t="str">
        <x:v>Gold</x:v>
      </x:c>
      <x:c r="K30" t="str">
        <x:v>Active</x:v>
      </x:c>
    </x:row>
    <x:row r="31" ht="18" customHeight="1">
      <x:c r="A31" t="str">
        <x:v>CUS0027</x:v>
      </x:c>
      <x:c r="B31" t="str"/>
      <x:c r="C31" t="str"/>
      <x:c r="D31" t="str">
        <x:v>Company 27</x:v>
      </x:c>
      <x:c r="E31" t="str">
        <x:v>Corporate</x:v>
      </x:c>
      <x:c r="F31" t="str">
        <x:v>Buea</x:v>
      </x:c>
      <x:c r="G31" t="str">
        <x:v>customer27@example.test</x:v>
      </x:c>
      <x:c r="H31" t="str">
        <x:v>+237 687 327 427</x:v>
      </x:c>
      <x:c r="I31" t="n">
        <x:v>45793</x:v>
      </x:c>
      <x:c r="J31" t="str">
        <x:v>Platinum</x:v>
      </x:c>
      <x:c r="K31" t="str">
        <x:v>Active</x:v>
      </x:c>
    </x:row>
    <x:row r="32" ht="18" customHeight="1">
      <x:c r="A32" t="str">
        <x:v>CUS0028</x:v>
      </x:c>
      <x:c r="B32" t="str"/>
      <x:c r="C32" t="str"/>
      <x:c r="D32"/>
      <x:c r="E32" t="str">
        <x:v>Wholesale</x:v>
      </x:c>
      <x:c r="F32" t="str">
        <x:v>Bafoussam</x:v>
      </x:c>
      <x:c r="G32" t="str">
        <x:v>customer28@example.test</x:v>
      </x:c>
      <x:c r="H32" t="str">
        <x:v>+237 688 328 428</x:v>
      </x:c>
      <x:c r="I32" t="n">
        <x:v>45798</x:v>
      </x:c>
      <x:c r="J32" t="str">
        <x:v>Standard</x:v>
      </x:c>
      <x:c r="K32" t="str">
        <x:v>Active</x:v>
      </x:c>
    </x:row>
    <x:row r="33" ht="18" customHeight="1">
      <x:c r="A33" t="str">
        <x:v>CUS0029</x:v>
      </x:c>
      <x:c r="B33" t="str">
        <x:v>Linda</x:v>
      </x:c>
      <x:c r="C33" t="str">
        <x:v>Kotto</x:v>
      </x:c>
      <x:c r="D33" t="str"/>
      <x:c r="E33" t="str">
        <x:v>Individual</x:v>
      </x:c>
      <x:c r="F33" t="str">
        <x:v>Douala</x:v>
      </x:c>
      <x:c r="G33" t="str">
        <x:v>customer29@example.test</x:v>
      </x:c>
      <x:c r="H33" t="str">
        <x:v>+237 689 329 429</x:v>
      </x:c>
      <x:c r="I33" t="n">
        <x:v>45803</x:v>
      </x:c>
      <x:c r="J33" t="str">
        <x:v>Silver</x:v>
      </x:c>
      <x:c r="K33" t="str">
        <x:v>Active</x:v>
      </x:c>
    </x:row>
    <x:row r="34" ht="18" customHeight="1">
      <x:c r="A34" t="str">
        <x:v>CUS0030</x:v>
      </x:c>
      <x:c r="B34" t="str"/>
      <x:c r="C34" t="str"/>
      <x:c r="D34" t="str">
        <x:v>Company 30</x:v>
      </x:c>
      <x:c r="E34" t="str">
        <x:v>Retail</x:v>
      </x:c>
      <x:c r="F34" t="str">
        <x:v>Yaounde</x:v>
      </x:c>
      <x:c r="G34" t="str">
        <x:v>customer30@example.test</x:v>
      </x:c>
      <x:c r="H34" t="str">
        <x:v>+237 675 330 430</x:v>
      </x:c>
      <x:c r="I34" t="n">
        <x:v>45808</x:v>
      </x:c>
      <x:c r="J34" t="str">
        <x:v>Gold</x:v>
      </x:c>
      <x:c r="K34" t="str">
        <x:v>Active</x:v>
      </x:c>
    </x:row>
    <x:row r="35" ht="18" customHeight="1">
      <x:c r="A35" t="str">
        <x:v>CUS0031</x:v>
      </x:c>
      <x:c r="B35" t="str"/>
      <x:c r="C35" t="str"/>
      <x:c r="D35" t="str">
        <x:v>Company 31</x:v>
      </x:c>
      <x:c r="E35" t="str">
        <x:v>Corporate</x:v>
      </x:c>
      <x:c r="F35" t="str">
        <x:v>Buea</x:v>
      </x:c>
      <x:c r="G35" t="str">
        <x:v>customer31@example.test</x:v>
      </x:c>
      <x:c r="H35" t="str">
        <x:v>+237 676 331 431</x:v>
      </x:c>
      <x:c r="I35" t="n">
        <x:v>45813</x:v>
      </x:c>
      <x:c r="J35" t="str">
        <x:v>Platinum</x:v>
      </x:c>
      <x:c r="K35" t="str">
        <x:v>Active</x:v>
      </x:c>
    </x:row>
    <x:row r="36" ht="18" customHeight="1">
      <x:c r="A36" t="str">
        <x:v>CUS0031 </x:v>
      </x:c>
      <x:c r="B36" t="str"/>
      <x:c r="C36" t="str"/>
      <x:c r="D36" t="str">
        <x:v>Company 32</x:v>
      </x:c>
      <x:c r="E36" t="str">
        <x:v>Wholesale</x:v>
      </x:c>
      <x:c r="F36" t="str">
        <x:v>Bafoussam</x:v>
      </x:c>
      <x:c r="G36" t="str">
        <x:v>customer32@example.test</x:v>
      </x:c>
      <x:c r="H36" t="str">
        <x:v>+237 677 332 432</x:v>
      </x:c>
      <x:c r="I36" t="n">
        <x:v>45818</x:v>
      </x:c>
      <x:c r="J36" t="str">
        <x:v>Standard</x:v>
      </x:c>
      <x:c r="K36" t="str">
        <x:v>Active</x:v>
      </x:c>
    </x:row>
    <x:row r="37" ht="18" customHeight="1">
      <x:c r="A37" t="str">
        <x:v>CUS0033</x:v>
      </x:c>
      <x:c r="B37" t="str">
        <x:v>Patricia</x:v>
      </x:c>
      <x:c r="C37" t="str">
        <x:v>Mboa</x:v>
      </x:c>
      <x:c r="D37" t="str"/>
      <x:c r="E37" t="str">
        <x:v>Individual</x:v>
      </x:c>
      <x:c r="F37" t="str">
        <x:v>Douala</x:v>
      </x:c>
      <x:c r="G37" t="str">
        <x:v>customer33@example.test</x:v>
      </x:c>
      <x:c r="H37" t="str">
        <x:v>+237 678 333 433</x:v>
      </x:c>
      <x:c r="I37" t="n">
        <x:v>45823</x:v>
      </x:c>
      <x:c r="J37" t="str">
        <x:v>Silver</x:v>
      </x:c>
      <x:c r="K37" t="str">
        <x:v>Active</x:v>
      </x:c>
    </x:row>
    <x:row r="38" ht="18" customHeight="1">
      <x:c r="A38" t="str">
        <x:v>CUS0034</x:v>
      </x:c>
      <x:c r="B38" t="str"/>
      <x:c r="C38" t="str"/>
      <x:c r="D38" t="str">
        <x:v>Company 34</x:v>
      </x:c>
      <x:c r="E38" t="str">
        <x:v>Retail</x:v>
      </x:c>
      <x:c r="F38" t="str">
        <x:v>Yaounde</x:v>
      </x:c>
      <x:c r="G38" t="str">
        <x:v>customer34@example.test</x:v>
      </x:c>
      <x:c r="H38" t="str">
        <x:v>+237 679 334 434</x:v>
      </x:c>
      <x:c r="I38" t="n">
        <x:v>45828</x:v>
      </x:c>
      <x:c r="J38" t="str">
        <x:v>Gold</x:v>
      </x:c>
      <x:c r="K38" t="str">
        <x:v>Active</x:v>
      </x:c>
    </x:row>
    <x:row r="39" ht="18" customHeight="1">
      <x:c r="A39" t="str">
        <x:v>CUS0035</x:v>
      </x:c>
      <x:c r="B39" t="str"/>
      <x:c r="C39" t="str"/>
      <x:c r="D39" t="str">
        <x:v>Company 35</x:v>
      </x:c>
      <x:c r="E39" t="str">
        <x:v>Corporate</x:v>
      </x:c>
      <x:c r="F39" t="str">
        <x:v>Buea</x:v>
      </x:c>
      <x:c r="G39" t="str">
        <x:v>customer35@example.test</x:v>
      </x:c>
      <x:c r="H39" t="str">
        <x:v>+237 680 335 435</x:v>
      </x:c>
      <x:c r="I39" t="n">
        <x:v>45833</x:v>
      </x:c>
      <x:c r="J39" t="str">
        <x:v>Platinum</x:v>
      </x:c>
      <x:c r="K39" t="str">
        <x:v>Active</x:v>
      </x:c>
    </x:row>
    <x:row r="40" ht="18" customHeight="1">
      <x:c r="A40" t="str">
        <x:v>CUS0036</x:v>
      </x:c>
      <x:c r="B40" t="str"/>
      <x:c r="C40" t="str"/>
      <x:c r="D40" t="str">
        <x:v>Company 36</x:v>
      </x:c>
      <x:c r="E40" t="str">
        <x:v>Wholesale</x:v>
      </x:c>
      <x:c r="F40" t="str">
        <x:v>Bafoussam</x:v>
      </x:c>
      <x:c r="G40" t="str">
        <x:v>customer36@example.test</x:v>
      </x:c>
      <x:c r="H40" t="str">
        <x:v>699887766</x:v>
      </x:c>
      <x:c r="I40" t="n">
        <x:v>45838</x:v>
      </x:c>
      <x:c r="J40" t="str">
        <x:v>Standard</x:v>
      </x:c>
      <x:c r="K40" t="str">
        <x:v>Active</x:v>
      </x:c>
    </x:row>
    <x:row r="41" ht="18" customHeight="1">
      <x:c r="A41" t="str">
        <x:v>CUS0037</x:v>
      </x:c>
      <x:c r="B41" t="str">
        <x:v>Yvette</x:v>
      </x:c>
      <x:c r="C41" t="str">
        <x:v>Nkem</x:v>
      </x:c>
      <x:c r="D41" t="str"/>
      <x:c r="E41" t="str">
        <x:v>Individual</x:v>
      </x:c>
      <x:c r="F41" t="str">
        <x:v>Douala</x:v>
      </x:c>
      <x:c r="G41" t="str">
        <x:v>customer37@example.test</x:v>
      </x:c>
      <x:c r="H41" t="str">
        <x:v>+237 682 337 437</x:v>
      </x:c>
      <x:c r="I41" t="n">
        <x:v>45843</x:v>
      </x:c>
      <x:c r="J41" t="str">
        <x:v>Silver</x:v>
      </x:c>
      <x:c r="K41" t="str">
        <x:v>Active</x:v>
      </x:c>
    </x:row>
    <x:row r="42" ht="18" customHeight="1">
      <x:c r="A42" t="str">
        <x:v>CUS0038</x:v>
      </x:c>
      <x:c r="B42" t="str"/>
      <x:c r="C42" t="str"/>
      <x:c r="D42" t="str">
        <x:v>Company 38</x:v>
      </x:c>
      <x:c r="E42" t="str">
        <x:v>Retail</x:v>
      </x:c>
      <x:c r="F42" t="str">
        <x:v>Yaounde</x:v>
      </x:c>
      <x:c r="G42" t="str">
        <x:v>customer38@example.test</x:v>
      </x:c>
      <x:c r="H42" t="str">
        <x:v>+237 683 338 438</x:v>
      </x:c>
      <x:c r="I42" t="n">
        <x:v>45848</x:v>
      </x:c>
      <x:c r="J42" t="str">
        <x:v>Gold</x:v>
      </x:c>
      <x:c r="K42" t="str">
        <x:v>Active</x:v>
      </x:c>
    </x:row>
    <x:row r="43" ht="18" customHeight="1">
      <x:c r="A43" t="str">
        <x:v>CUS0039</x:v>
      </x:c>
      <x:c r="B43" t="str"/>
      <x:c r="C43" t="str"/>
      <x:c r="D43" t="str">
        <x:v>Company 39</x:v>
      </x:c>
      <x:c r="E43" t="str">
        <x:v>Corporate</x:v>
      </x:c>
      <x:c r="F43" t="str">
        <x:v>Buea</x:v>
      </x:c>
      <x:c r="G43" t="str">
        <x:v>customer39@example.test</x:v>
      </x:c>
      <x:c r="H43" t="str">
        <x:v>+237 684 339 439</x:v>
      </x:c>
      <x:c r="I43" t="n">
        <x:v>45853</x:v>
      </x:c>
      <x:c r="J43" t="str">
        <x:v>Platinum</x:v>
      </x:c>
      <x:c r="K43" t="str">
        <x:v>Active</x:v>
      </x:c>
    </x:row>
    <x:row r="44" ht="18" customHeight="1">
      <x:c r="A44" t="str">
        <x:v>CUS0040</x:v>
      </x:c>
      <x:c r="B44" t="str"/>
      <x:c r="C44" t="str"/>
      <x:c r="D44" t="str">
        <x:v>Company 40</x:v>
      </x:c>
      <x:c r="E44" t="str">
        <x:v>Wholesale</x:v>
      </x:c>
      <x:c r="F44" t="str">
        <x:v>Bafoussam</x:v>
      </x:c>
      <x:c r="G44" t="str">
        <x:v>customer40@example.test</x:v>
      </x:c>
      <x:c r="H44" t="str">
        <x:v>+237 685 340 440</x:v>
      </x:c>
      <x:c r="I44" t="n">
        <x:v>45858</x:v>
      </x:c>
      <x:c r="J44" t="str">
        <x:v>Standard</x:v>
      </x:c>
      <x:c r="K44" t="str">
        <x:v>Active</x:v>
      </x:c>
    </x:row>
    <x:row r="45" ht="18" customHeight="1">
      <x:c r="A45" t="str">
        <x:v>CUS0041</x:v>
      </x:c>
      <x:c r="B45" t="str">
        <x:v>David</x:v>
      </x:c>
      <x:c r="C45" t="str">
        <x:v>Mbi</x:v>
      </x:c>
      <x:c r="D45" t="str"/>
      <x:c r="E45" t="str">
        <x:v>Individual</x:v>
      </x:c>
      <x:c r="F45" t="str">
        <x:v>Douala</x:v>
      </x:c>
      <x:c r="G45" t="str">
        <x:v>customer41@example.test</x:v>
      </x:c>
      <x:c r="H45" t="str">
        <x:v>+237 686 341 441</x:v>
      </x:c>
      <x:c r="I45" t="n">
        <x:v>45863</x:v>
      </x:c>
      <x:c r="J45" t="str">
        <x:v>Silver</x:v>
      </x:c>
      <x:c r="K45" t="str">
        <x:v>Active</x:v>
      </x:c>
    </x:row>
    <x:row r="46" ht="18" customHeight="1">
      <x:c r="A46" t="str">
        <x:v>CUS0042</x:v>
      </x:c>
      <x:c r="B46" t="str"/>
      <x:c r="C46" t="str"/>
      <x:c r="D46" t="str">
        <x:v>Company 42</x:v>
      </x:c>
      <x:c r="E46" t="str">
        <x:v>Retail</x:v>
      </x:c>
      <x:c r="F46" t="str">
        <x:v>Yaounde</x:v>
      </x:c>
      <x:c r="G46" t="str">
        <x:v>customer42@example.test</x:v>
      </x:c>
      <x:c r="H46" t="str">
        <x:v>+237 687 342 442</x:v>
      </x:c>
      <x:c r="I46" t="n">
        <x:v>45868</x:v>
      </x:c>
      <x:c r="J46" t="str">
        <x:v>Gold</x:v>
      </x:c>
      <x:c r="K46" t="str">
        <x:v>Active</x:v>
      </x:c>
    </x:row>
    <x:row r="47" ht="18" customHeight="1">
      <x:c r="A47" t="str">
        <x:v>CUS0043</x:v>
      </x:c>
      <x:c r="B47" t="str"/>
      <x:c r="C47" t="str"/>
      <x:c r="D47" t="str">
        <x:v>Company 43</x:v>
      </x:c>
      <x:c r="E47" t="str">
        <x:v>Corporate</x:v>
      </x:c>
      <x:c r="F47" t="str"/>
      <x:c r="G47" t="str">
        <x:v>customer43@example.test</x:v>
      </x:c>
      <x:c r="H47" t="str">
        <x:v>+237 688 343 443</x:v>
      </x:c>
      <x:c r="I47" t="n">
        <x:v>45873</x:v>
      </x:c>
      <x:c r="J47" t="str">
        <x:v>Platinum</x:v>
      </x:c>
      <x:c r="K47" t="str">
        <x:v>Active</x:v>
      </x:c>
    </x:row>
    <x:row r="48" ht="18" customHeight="1">
      <x:c r="A48" t="str">
        <x:v>CUS0044</x:v>
      </x:c>
      <x:c r="B48" t="str"/>
      <x:c r="C48" t="str"/>
      <x:c r="D48" t="str">
        <x:v>Company 44</x:v>
      </x:c>
      <x:c r="E48" t="str">
        <x:v>Wholesale</x:v>
      </x:c>
      <x:c r="F48" t="str">
        <x:v>Bafoussam</x:v>
      </x:c>
      <x:c r="G48" t="str">
        <x:v>customer44@example.test</x:v>
      </x:c>
      <x:c r="H48" t="str">
        <x:v>+237 689 344 444</x:v>
      </x:c>
      <x:c r="I48" t="n">
        <x:v>45878</x:v>
      </x:c>
      <x:c r="J48" t="str">
        <x:v>Standard</x:v>
      </x:c>
      <x:c r="K48" t="str">
        <x:v>Active</x:v>
      </x:c>
    </x:row>
    <x:row r="49" ht="18" customHeight="1">
      <x:c r="A49" t="str">
        <x:v>CUS0045</x:v>
      </x:c>
      <x:c r="B49" t="str">
        <x:v>Henry</x:v>
      </x:c>
      <x:c r="C49" t="str">
        <x:v>Mafor</x:v>
      </x:c>
      <x:c r="D49" t="str"/>
      <x:c r="E49" t="str">
        <x:v>Individual</x:v>
      </x:c>
      <x:c r="F49" t="str">
        <x:v>Douala</x:v>
      </x:c>
      <x:c r="G49" t="str">
        <x:v>customer45@example.test</x:v>
      </x:c>
      <x:c r="H49" t="str">
        <x:v>+237 675 345 445</x:v>
      </x:c>
      <x:c r="I49" t="n">
        <x:v>45883</x:v>
      </x:c>
      <x:c r="J49" t="str">
        <x:v>Silver</x:v>
      </x:c>
      <x:c r="K49" t="str">
        <x:v>Active</x:v>
      </x:c>
    </x:row>
    <x:row r="50" ht="18" customHeight="1">
      <x:c r="A50" t="str">
        <x:v>CUS0046</x:v>
      </x:c>
      <x:c r="B50" t="str"/>
      <x:c r="C50" t="str"/>
      <x:c r="D50" t="str">
        <x:v>Company 46</x:v>
      </x:c>
      <x:c r="E50" t="str">
        <x:v>Retail</x:v>
      </x:c>
      <x:c r="F50" t="str">
        <x:v>Yaounde</x:v>
      </x:c>
      <x:c r="G50" t="str">
        <x:v>customer46@example.test</x:v>
      </x:c>
      <x:c r="H50" t="str">
        <x:v>+237 676 346 446</x:v>
      </x:c>
      <x:c r="I50" t="n">
        <x:v>45888</x:v>
      </x:c>
      <x:c r="J50" t="str">
        <x:v>Gold</x:v>
      </x:c>
      <x:c r="K50" t="str">
        <x:v>Active</x:v>
      </x:c>
    </x:row>
    <x:row r="51" ht="18" customHeight="1">
      <x:c r="A51" t="str">
        <x:v>CUS0047</x:v>
      </x:c>
      <x:c r="B51" t="str"/>
      <x:c r="C51" t="str"/>
      <x:c r="D51" t="str">
        <x:v>Company 47</x:v>
      </x:c>
      <x:c r="E51" t="str">
        <x:v>Corporate</x:v>
      </x:c>
      <x:c r="F51" t="str">
        <x:v>Buea</x:v>
      </x:c>
      <x:c r="G51" t="str">
        <x:v>customer47@example.test</x:v>
      </x:c>
      <x:c r="H51" t="str">
        <x:v>+237 677 347 447</x:v>
      </x:c>
      <x:c r="I51" t="n">
        <x:v>45893</x:v>
      </x:c>
      <x:c r="J51" t="str">
        <x:v>Platinum</x:v>
      </x:c>
      <x:c r="K51" t="str">
        <x:v>Active</x:v>
      </x:c>
    </x:row>
    <x:row r="52" ht="18" customHeight="1">
      <x:c r="A52" t="str">
        <x:v>CUS0048</x:v>
      </x:c>
      <x:c r="B52" t="str"/>
      <x:c r="C52" t="str"/>
      <x:c r="D52" t="str">
        <x:v>Company 48</x:v>
      </x:c>
      <x:c r="E52" t="str">
        <x:v>Wholesale</x:v>
      </x:c>
      <x:c r="F52" t="str">
        <x:v>Bafoussam</x:v>
      </x:c>
      <x:c r="G52" t="str">
        <x:v>customer48@example.test</x:v>
      </x:c>
      <x:c r="H52" t="str">
        <x:v>+237 678 348 448</x:v>
      </x:c>
      <x:c r="I52" t="n">
        <x:v>45898</x:v>
      </x:c>
      <x:c r="J52" t="str">
        <x:v>Standard</x:v>
      </x:c>
      <x:c r="K52" t="str">
        <x:v>Active</x:v>
      </x:c>
    </x:row>
    <x:row r="53" ht="18" customHeight="1">
      <x:c r="A53" t="str">
        <x:v>CUS0049</x:v>
      </x:c>
      <x:c r="B53" t="str">
        <x:v>Linda</x:v>
      </x:c>
      <x:c r="C53" t="str">
        <x:v>Kotto</x:v>
      </x:c>
      <x:c r="D53" t="str"/>
      <x:c r="E53" t="str">
        <x:v>Individual</x:v>
      </x:c>
      <x:c r="F53" t="str">
        <x:v>Douala</x:v>
      </x:c>
      <x:c r="G53" t="str">
        <x:v>customer49@example.test</x:v>
      </x:c>
      <x:c r="H53" t="str">
        <x:v>+237 679 349 449</x:v>
      </x:c>
      <x:c r="I53" t="n">
        <x:v>45903</x:v>
      </x:c>
      <x:c r="J53" t="str">
        <x:v>Silver</x:v>
      </x:c>
      <x:c r="K53" t="str">
        <x:v>Active</x:v>
      </x:c>
    </x:row>
    <x:row r="54" ht="18" customHeight="1">
      <x:c r="A54" t="str">
        <x:v>CUS0050</x:v>
      </x:c>
      <x:c r="B54" t="str"/>
      <x:c r="C54" t="str"/>
      <x:c r="D54" t="str">
        <x:v>Company 50</x:v>
      </x:c>
      <x:c r="E54" t="str">
        <x:v>Retail</x:v>
      </x:c>
      <x:c r="F54" t="str">
        <x:v>Yaounde</x:v>
      </x:c>
      <x:c r="G54" t="str">
        <x:v>N/A</x:v>
      </x:c>
      <x:c r="H54" t="str">
        <x:v>+237 680 350 450</x:v>
      </x:c>
      <x:c r="I54" t="n">
        <x:v>45908</x:v>
      </x:c>
      <x:c r="J54" t="str">
        <x:v>Gold</x:v>
      </x:c>
      <x:c r="K54" t="str">
        <x:v>Active</x:v>
      </x:c>
    </x:row>
    <x:row r="55" ht="18" customHeight="1">
      <x:c r="A55" t="str">
        <x:v>CUS0051</x:v>
      </x:c>
      <x:c r="B55" t="str"/>
      <x:c r="C55" t="str"/>
      <x:c r="D55" t="str">
        <x:v>Company 51</x:v>
      </x:c>
      <x:c r="E55" t="str">
        <x:v>Corporate</x:v>
      </x:c>
      <x:c r="F55" t="str">
        <x:v>Buea</x:v>
      </x:c>
      <x:c r="G55" t="str">
        <x:v>customer51@example.test</x:v>
      </x:c>
      <x:c r="H55" t="str">
        <x:v>+237 681 351 451</x:v>
      </x:c>
      <x:c r="I55" t="n">
        <x:v>45913</x:v>
      </x:c>
      <x:c r="J55" t="str">
        <x:v>Platinum</x:v>
      </x:c>
      <x:c r="K55" t="str">
        <x:v>Active</x:v>
      </x:c>
    </x:row>
    <x:row r="56" ht="18" customHeight="1">
      <x:c r="A56" t="str">
        <x:v>CUS0052</x:v>
      </x:c>
      <x:c r="B56" t="str"/>
      <x:c r="C56" t="str"/>
      <x:c r="D56" t="str">
        <x:v>Company 52</x:v>
      </x:c>
      <x:c r="E56" t="str">
        <x:v>Wholesale</x:v>
      </x:c>
      <x:c r="F56" t="str">
        <x:v>Bafoussam</x:v>
      </x:c>
      <x:c r="G56" t="str">
        <x:v>customer52@example.test</x:v>
      </x:c>
      <x:c r="H56" t="str">
        <x:v>+237 682 352 452</x:v>
      </x:c>
      <x:c r="I56" t="n">
        <x:v>45918</x:v>
      </x:c>
      <x:c r="J56" t="str">
        <x:v>Standard</x:v>
      </x:c>
      <x:c r="K56" t="str">
        <x:v>Active</x:v>
      </x:c>
    </x:row>
    <x:row r="57" ht="18" customHeight="1">
      <x:c r="A57" t="str">
        <x:v>CUS0053</x:v>
      </x:c>
      <x:c r="B57" t="str">
        <x:v>Patricia</x:v>
      </x:c>
      <x:c r="C57" t="str">
        <x:v>Mboa</x:v>
      </x:c>
      <x:c r="D57" t="str"/>
      <x:c r="E57" t="str">
        <x:v>Individual</x:v>
      </x:c>
      <x:c r="F57" t="str">
        <x:v>Douala</x:v>
      </x:c>
      <x:c r="G57" t="str">
        <x:v>customer53@example.test</x:v>
      </x:c>
      <x:c r="H57" t="str">
        <x:v>+237 683 353 453</x:v>
      </x:c>
      <x:c r="I57" t="n">
        <x:v>45923</x:v>
      </x:c>
      <x:c r="J57" t="str">
        <x:v>Silver</x:v>
      </x:c>
      <x:c r="K57" t="str">
        <x:v>Active</x:v>
      </x:c>
    </x:row>
    <x:row r="58" ht="18" customHeight="1">
      <x:c r="A58" t="str">
        <x:v>CUS0054</x:v>
      </x:c>
      <x:c r="B58" t="str"/>
      <x:c r="C58" t="str"/>
      <x:c r="D58" t="str">
        <x:v>Company 54</x:v>
      </x:c>
      <x:c r="E58" t="str">
        <x:v>Retail</x:v>
      </x:c>
      <x:c r="F58" t="str">
        <x:v>Yaounde</x:v>
      </x:c>
      <x:c r="G58" t="str">
        <x:v>customer54@example.test</x:v>
      </x:c>
      <x:c r="H58" t="str">
        <x:v>+237 684 354 454</x:v>
      </x:c>
      <x:c r="I58" t="n">
        <x:v>45928</x:v>
      </x:c>
      <x:c r="J58" t="str">
        <x:v>Gold</x:v>
      </x:c>
      <x:c r="K58" t="str">
        <x:v>Active</x:v>
      </x:c>
    </x:row>
    <x:row r="59" ht="18" customHeight="1">
      <x:c r="A59" t="str">
        <x:v>CUS0055</x:v>
      </x:c>
      <x:c r="B59" t="str"/>
      <x:c r="C59" t="str"/>
      <x:c r="D59" t="str">
        <x:v>Company 55</x:v>
      </x:c>
      <x:c r="E59" t="str">
        <x:v>Corporate</x:v>
      </x:c>
      <x:c r="F59" t="str">
        <x:v>Buea</x:v>
      </x:c>
      <x:c r="G59" t="str">
        <x:v>customer55@example.test</x:v>
      </x:c>
      <x:c r="H59" t="str">
        <x:v>+237 685 355 455</x:v>
      </x:c>
      <x:c r="I59" t="n">
        <x:v>45933</x:v>
      </x:c>
      <x:c r="J59" t="str">
        <x:v>Platinum</x:v>
      </x:c>
      <x:c r="K59" t="str">
        <x:v>Active</x:v>
      </x:c>
    </x:row>
    <x:row r="60" ht="18" customHeight="1">
      <x:c r="A60" t="str">
        <x:v>CUS0056</x:v>
      </x:c>
      <x:c r="B60" t="str"/>
      <x:c r="C60" t="str"/>
      <x:c r="D60" t="str">
        <x:v>Company 56</x:v>
      </x:c>
      <x:c r="E60" t="str">
        <x:v>Wholesale</x:v>
      </x:c>
      <x:c r="F60" t="str">
        <x:v>Bafoussam</x:v>
      </x:c>
      <x:c r="G60" t="str">
        <x:v>customer56@example.test</x:v>
      </x:c>
      <x:c r="H60" t="str">
        <x:v>+237 686 356 456</x:v>
      </x:c>
      <x:c r="I60" t="n">
        <x:v>45938</x:v>
      </x:c>
      <x:c r="J60" t="str">
        <x:v>Standard</x:v>
      </x:c>
      <x:c r="K60" t="str">
        <x:v>Active</x:v>
      </x:c>
    </x:row>
    <x:row r="61" ht="18" customHeight="1">
      <x:c r="A61" t="str">
        <x:v>CUS0057</x:v>
      </x:c>
      <x:c r="B61" t="str">
        <x:v>Yvette</x:v>
      </x:c>
      <x:c r="C61" t="str">
        <x:v>Nkem</x:v>
      </x:c>
      <x:c r="D61" t="str"/>
      <x:c r="E61" t="str">
        <x:v>Individual</x:v>
      </x:c>
      <x:c r="F61" t="str">
        <x:v>Douala</x:v>
      </x:c>
      <x:c r="G61" t="str">
        <x:v>customer57@example.test</x:v>
      </x:c>
      <x:c r="H61" t="str">
        <x:v>+237 687 357 457</x:v>
      </x:c>
      <x:c r="I61" t="n">
        <x:v>45943</x:v>
      </x:c>
      <x:c r="J61" t="str">
        <x:v>Silver</x:v>
      </x:c>
      <x:c r="K61" t="str">
        <x:v>Active</x:v>
      </x:c>
    </x:row>
    <x:row r="62" ht="18" customHeight="1">
      <x:c r="A62" t="str">
        <x:v>CUS0058</x:v>
      </x:c>
      <x:c r="B62" t="str"/>
      <x:c r="C62" t="str"/>
      <x:c r="D62" t="str">
        <x:v>Company 58</x:v>
      </x:c>
      <x:c r="E62" t="str">
        <x:v>Retail</x:v>
      </x:c>
      <x:c r="F62" t="str">
        <x:v>Yaounde</x:v>
      </x:c>
      <x:c r="G62" t="str">
        <x:v>customer58@example.test</x:v>
      </x:c>
      <x:c r="H62" t="str">
        <x:v>+237 688 358 458</x:v>
      </x:c>
      <x:c r="I62" t="n">
        <x:v>45948</x:v>
      </x:c>
      <x:c r="J62" t="str">
        <x:v>Gold</x:v>
      </x:c>
      <x:c r="K62" t="str">
        <x:v>Active</x:v>
      </x:c>
    </x:row>
    <x:row r="63" ht="18" customHeight="1">
      <x:c r="A63" t="str">
        <x:v>CUS0059</x:v>
      </x:c>
      <x:c r="B63" t="str"/>
      <x:c r="C63" t="str"/>
      <x:c r="D63" t="str">
        <x:v>Company 59</x:v>
      </x:c>
      <x:c r="E63" t="str">
        <x:v>Corporate</x:v>
      </x:c>
      <x:c r="F63" t="str">
        <x:v>Buea</x:v>
      </x:c>
      <x:c r="G63" t="str">
        <x:v>customer59@example.test</x:v>
      </x:c>
      <x:c r="H63" t="str">
        <x:v>+237 689 359 459</x:v>
      </x:c>
      <x:c r="I63" t="n">
        <x:v>45953</x:v>
      </x:c>
      <x:c r="J63" t="str">
        <x:v>Platinum</x:v>
      </x:c>
      <x:c r="K63" t="str">
        <x:v>Active</x:v>
      </x:c>
    </x:row>
    <x:row r="64" ht="18" customHeight="1">
      <x:c r="A64" t="str">
        <x:v>CUS0060</x:v>
      </x:c>
      <x:c r="B64" t="str"/>
      <x:c r="C64" t="str"/>
      <x:c r="D64" t="str">
        <x:v>Company 60</x:v>
      </x:c>
      <x:c r="E64" t="str">
        <x:v>Wholesale</x:v>
      </x:c>
      <x:c r="F64" t="str">
        <x:v>Bafoussam</x:v>
      </x:c>
      <x:c r="G64" t="str">
        <x:v>customer60@example.test</x:v>
      </x:c>
      <x:c r="H64" t="str">
        <x:v>+237 675 360 460</x:v>
      </x:c>
      <x:c r="I64" t="n">
        <x:v>45958</x:v>
      </x:c>
      <x:c r="J64" t="str">
        <x:v>Standard</x:v>
      </x:c>
      <x:c r="K64" t="str">
        <x:v>Active</x:v>
      </x:c>
    </x:row>
    <x:row r="65" ht="18" customHeight="1">
      <x:c r="A65" t="str">
        <x:v>CUS0008</x:v>
      </x:c>
      <x:c r="B65" t="str"/>
      <x:c r="C65" t="str"/>
      <x:c r="D65" t="str">
        <x:v>Company 8</x:v>
      </x:c>
      <x:c r="E65" t="str">
        <x:v>Wholesale</x:v>
      </x:c>
      <x:c r="F65" t="str">
        <x:v>Bafoussam</x:v>
      </x:c>
      <x:c r="G65" t="str">
        <x:v>customer8@example.test</x:v>
      </x:c>
      <x:c r="H65" t="str">
        <x:v>+237 683 308 408</x:v>
      </x:c>
      <x:c r="I65" t="n">
        <x:v>45698</x:v>
      </x:c>
      <x:c r="J65" t="str">
        <x:v>Standard</x:v>
      </x:c>
      <x:c r="K65" t="str">
        <x:v>Active</x:v>
      </x:c>
    </x:row>
    <x:row r="66" ht="18" customHeight="1">
      <x:c r="A66" t="str">
        <x:v>CUS0008</x:v>
      </x:c>
      <x:c r="B66" t="str"/>
      <x:c r="C66" t="str"/>
      <x:c r="D66" t="str">
        <x:v>Company 8</x:v>
      </x:c>
      <x:c r="E66" t="str">
        <x:v>Wholesale</x:v>
      </x:c>
      <x:c r="F66" t="str">
        <x:v>Bafoussam</x:v>
      </x:c>
      <x:c r="G66" t="str">
        <x:v>customer8@example.test</x:v>
      </x:c>
      <x:c r="H66" t="str">
        <x:v>+237 683 308 408</x:v>
      </x:c>
      <x:c r="I66" t="n">
        <x:v>45698</x:v>
      </x:c>
      <x:c r="J66" t="str">
        <x:v>Standard</x:v>
      </x:c>
      <x:c r="K66" t="str">
        <x:v>Active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010130d22dd34b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6" hidden="0" customWidth="1"/>
    <x:col min="5" max="5" width="6.380000114440918" hidden="0" customWidth="1"/>
    <x:col min="6" max="6" width="10.5" hidden="0" customWidth="1"/>
    <x:col min="7" max="7" width="12.25" hidden="0" customWidth="1"/>
    <x:col min="8" max="8" width="13.5" hidden="0" customWidth="1"/>
    <x:col min="9" max="9" width="16.25" hidden="0" customWidth="1"/>
    <x:col min="10" max="10" width="12.380000114440918" hidden="0" customWidth="1"/>
    <x:col min="11" max="11" width="7.75" hidden="0" customWidth="1"/>
  </x:cols>
  <x:sheetData>
    <x:row r="1" ht="30" customHeight="1">
      <x:c r="A1" s="5" t="str">
        <x:v>Products — Clean Reference</x:v>
      </x:c>
    </x:row>
    <x:row r="3">
      <x:c r="A3" s="76" t="str">
        <x:v>CLEAN REFERENCE DATASET</x:v>
      </x:c>
    </x:row>
    <x:row r="4">
      <x:c r="A4" s="51" t="str">
        <x:v>Product ID</x:v>
      </x:c>
      <x:c r="B4" s="52" t="str">
        <x:v>Product Name</x:v>
      </x:c>
      <x:c r="C4" s="52" t="str">
        <x:v>Category</x:v>
      </x:c>
      <x:c r="D4" s="52" t="str">
        <x:v>Brand</x:v>
      </x:c>
      <x:c r="E4" s="52" t="str">
        <x:v>Unit</x:v>
      </x:c>
      <x:c r="F4" s="52" t="str">
        <x:v>Cost Price</x:v>
      </x:c>
      <x:c r="G4" s="52" t="str">
        <x:v>Selling Price</x:v>
      </x:c>
      <x:c r="H4" s="52" t="str">
        <x:v>Reorder Level</x:v>
      </x:c>
      <x:c r="I4" s="52" t="str">
        <x:v>Reorder Quantity</x:v>
      </x:c>
      <x:c r="J4" s="52" t="str">
        <x:v>Tax Rate (%)</x:v>
      </x:c>
      <x:c r="K4" s="53" t="str">
        <x:v>Status</x:v>
      </x:c>
    </x:row>
    <x:row r="5" ht="18" customHeight="1">
      <x:c r="A5" t="str">
        <x:v>PRD001</x:v>
      </x:c>
      <x:c r="B5" t="str">
        <x:v>Product 1</x:v>
      </x:c>
      <x:c r="C5" t="str">
        <x:v>Food and Beverages</x:v>
      </x:c>
      <x:c r="D5" t="str">
        <x:v>ABC Choice</x:v>
      </x:c>
      <x:c r="E5" t="str">
        <x:v>Unit</x:v>
      </x:c>
      <x:c r="F5" s="72" t="n">
        <x:v>1425</x:v>
      </x:c>
      <x:c r="G5" s="72" t="n">
        <x:v>1820</x:v>
      </x:c>
      <x:c r="H5" t="n">
        <x:v>15</x:v>
      </x:c>
      <x:c r="I5" t="n">
        <x:v>50</x:v>
      </x:c>
      <x:c r="J5" s="86" t="n">
        <x:v>0</x:v>
      </x:c>
      <x:c r="K5" t="str">
        <x:v>Active</x:v>
      </x:c>
    </x:row>
    <x:row r="6" ht="18" customHeight="1">
      <x:c r="A6" t="str">
        <x:v>PRD002</x:v>
      </x:c>
      <x:c r="B6" t="str">
        <x:v>Product 2</x:v>
      </x:c>
      <x:c r="C6" t="str">
        <x:v>Home and Kitchen</x:v>
      </x:c>
      <x:c r="D6" t="str">
        <x:v>HomePro</x:v>
      </x:c>
      <x:c r="E6" t="str">
        <x:v>Unit</x:v>
      </x:c>
      <x:c r="F6" s="72" t="n">
        <x:v>1850</x:v>
      </x:c>
      <x:c r="G6" s="72" t="n">
        <x:v>2370</x:v>
      </x:c>
      <x:c r="H6" t="n">
        <x:v>20</x:v>
      </x:c>
      <x:c r="I6" t="n">
        <x:v>70</x:v>
      </x:c>
      <x:c r="J6" s="86" t="n">
        <x:v>19.25</x:v>
      </x:c>
      <x:c r="K6" t="str">
        <x:v>Active</x:v>
      </x:c>
    </x:row>
    <x:row r="7" ht="18" customHeight="1">
      <x:c r="A7" t="str">
        <x:v>PRD003</x:v>
      </x:c>
      <x:c r="B7" t="str">
        <x:v>Product 3</x:v>
      </x:c>
      <x:c r="C7" t="str">
        <x:v>Electronics</x:v>
      </x:c>
      <x:c r="D7" t="str">
        <x:v>Voltix</x:v>
      </x:c>
      <x:c r="E7" t="str">
        <x:v>Pack</x:v>
      </x:c>
      <x:c r="F7" s="72" t="n">
        <x:v>2275</x:v>
      </x:c>
      <x:c r="G7" s="72" t="n">
        <x:v>2910</x:v>
      </x:c>
      <x:c r="H7" t="n">
        <x:v>25</x:v>
      </x:c>
      <x:c r="I7" t="n">
        <x:v>90</x:v>
      </x:c>
      <x:c r="J7" s="86" t="n">
        <x:v>19.25</x:v>
      </x:c>
      <x:c r="K7" t="str">
        <x:v>Active</x:v>
      </x:c>
    </x:row>
    <x:row r="8" ht="18" customHeight="1">
      <x:c r="A8" t="str">
        <x:v>PRD004</x:v>
      </x:c>
      <x:c r="B8" t="str">
        <x:v>Product 4</x:v>
      </x:c>
      <x:c r="C8" t="str">
        <x:v>Personal Care</x:v>
      </x:c>
      <x:c r="D8" t="str">
        <x:v>SoftGlow</x:v>
      </x:c>
      <x:c r="E8" t="str">
        <x:v>Unit</x:v>
      </x:c>
      <x:c r="F8" s="72" t="n">
        <x:v>2700</x:v>
      </x:c>
      <x:c r="G8" s="72" t="n">
        <x:v>3460</x:v>
      </x:c>
      <x:c r="H8" t="n">
        <x:v>30</x:v>
      </x:c>
      <x:c r="I8" t="n">
        <x:v>110</x:v>
      </x:c>
      <x:c r="J8" s="86" t="n">
        <x:v>19.25</x:v>
      </x:c>
      <x:c r="K8" t="str">
        <x:v>Active</x:v>
      </x:c>
    </x:row>
    <x:row r="9" ht="18" customHeight="1">
      <x:c r="A9" t="str">
        <x:v>PRD005</x:v>
      </x:c>
      <x:c r="B9" t="str">
        <x:v>Product 5</x:v>
      </x:c>
      <x:c r="C9" t="str">
        <x:v>Office Supplies</x:v>
      </x:c>
      <x:c r="D9" t="str">
        <x:v>PrintRight</x:v>
      </x:c>
      <x:c r="E9" t="str">
        <x:v>Unit</x:v>
      </x:c>
      <x:c r="F9" s="72" t="n">
        <x:v>3125</x:v>
      </x:c>
      <x:c r="G9" s="72" t="n">
        <x:v>4000</x:v>
      </x:c>
      <x:c r="H9" t="n">
        <x:v>35</x:v>
      </x:c>
      <x:c r="I9" t="n">
        <x:v>30</x:v>
      </x:c>
      <x:c r="J9" s="86" t="n">
        <x:v>19.25</x:v>
      </x:c>
      <x:c r="K9" t="str">
        <x:v>Active</x:v>
      </x:c>
    </x:row>
    <x:row r="10" ht="18" customHeight="1">
      <x:c r="A10" t="str">
        <x:v>PRD006</x:v>
      </x:c>
      <x:c r="B10" t="str">
        <x:v>Product 6</x:v>
      </x:c>
      <x:c r="C10" t="str">
        <x:v>Food and Beverages</x:v>
      </x:c>
      <x:c r="D10" t="str">
        <x:v>ABC Choice</x:v>
      </x:c>
      <x:c r="E10" t="str">
        <x:v>Pack</x:v>
      </x:c>
      <x:c r="F10" s="72" t="n">
        <x:v>3550</x:v>
      </x:c>
      <x:c r="G10" s="72" t="n">
        <x:v>4540</x:v>
      </x:c>
      <x:c r="H10" t="n">
        <x:v>10</x:v>
      </x:c>
      <x:c r="I10" t="n">
        <x:v>50</x:v>
      </x:c>
      <x:c r="J10" s="86" t="n">
        <x:v>0</x:v>
      </x:c>
      <x:c r="K10" t="str">
        <x:v>Active</x:v>
      </x:c>
    </x:row>
    <x:row r="11" ht="18" customHeight="1">
      <x:c r="A11" t="str">
        <x:v>PRD007</x:v>
      </x:c>
      <x:c r="B11" t="str">
        <x:v>Product 7</x:v>
      </x:c>
      <x:c r="C11" t="str">
        <x:v>Home and Kitchen</x:v>
      </x:c>
      <x:c r="D11" t="str">
        <x:v>HomePro</x:v>
      </x:c>
      <x:c r="E11" t="str">
        <x:v>Unit</x:v>
      </x:c>
      <x:c r="F11" s="72" t="n">
        <x:v>3975</x:v>
      </x:c>
      <x:c r="G11" s="72" t="n">
        <x:v>5090</x:v>
      </x:c>
      <x:c r="H11" t="n">
        <x:v>15</x:v>
      </x:c>
      <x:c r="I11" t="n">
        <x:v>70</x:v>
      </x:c>
      <x:c r="J11" s="86" t="n">
        <x:v>19.25</x:v>
      </x:c>
      <x:c r="K11" t="str">
        <x:v>Active</x:v>
      </x:c>
    </x:row>
    <x:row r="12" ht="18" customHeight="1">
      <x:c r="A12" t="str">
        <x:v>PRD008</x:v>
      </x:c>
      <x:c r="B12" t="str">
        <x:v>Product 8</x:v>
      </x:c>
      <x:c r="C12" t="str">
        <x:v>Electronics</x:v>
      </x:c>
      <x:c r="D12" t="str">
        <x:v>Voltix</x:v>
      </x:c>
      <x:c r="E12" t="str">
        <x:v>Unit</x:v>
      </x:c>
      <x:c r="F12" s="72" t="n">
        <x:v>4400</x:v>
      </x:c>
      <x:c r="G12" s="72" t="n">
        <x:v>5630</x:v>
      </x:c>
      <x:c r="H12" t="n">
        <x:v>20</x:v>
      </x:c>
      <x:c r="I12" t="n">
        <x:v>90</x:v>
      </x:c>
      <x:c r="J12" s="86" t="n">
        <x:v>19.25</x:v>
      </x:c>
      <x:c r="K12" t="str">
        <x:v>Active</x:v>
      </x:c>
    </x:row>
    <x:row r="13" ht="18" customHeight="1">
      <x:c r="A13" t="str">
        <x:v>PRD009</x:v>
      </x:c>
      <x:c r="B13" t="str">
        <x:v>Product 9</x:v>
      </x:c>
      <x:c r="C13" t="str">
        <x:v>Personal Care</x:v>
      </x:c>
      <x:c r="D13" t="str">
        <x:v>SoftGlow</x:v>
      </x:c>
      <x:c r="E13" t="str">
        <x:v>Pack</x:v>
      </x:c>
      <x:c r="F13" s="72" t="n">
        <x:v>4825</x:v>
      </x:c>
      <x:c r="G13" s="72" t="n">
        <x:v>6180</x:v>
      </x:c>
      <x:c r="H13" t="n">
        <x:v>25</x:v>
      </x:c>
      <x:c r="I13" t="n">
        <x:v>110</x:v>
      </x:c>
      <x:c r="J13" s="86" t="n">
        <x:v>19.25</x:v>
      </x:c>
      <x:c r="K13" t="str">
        <x:v>Active</x:v>
      </x:c>
    </x:row>
    <x:row r="14" ht="18" customHeight="1">
      <x:c r="A14" t="str">
        <x:v>PRD010</x:v>
      </x:c>
      <x:c r="B14" t="str">
        <x:v>Product 10</x:v>
      </x:c>
      <x:c r="C14" t="str">
        <x:v>Office Supplies</x:v>
      </x:c>
      <x:c r="D14" t="str">
        <x:v>PrintRight</x:v>
      </x:c>
      <x:c r="E14" t="str">
        <x:v>Unit</x:v>
      </x:c>
      <x:c r="F14" s="72" t="n">
        <x:v>5250</x:v>
      </x:c>
      <x:c r="G14" s="72" t="n">
        <x:v>6720</x:v>
      </x:c>
      <x:c r="H14" t="n">
        <x:v>30</x:v>
      </x:c>
      <x:c r="I14" t="n">
        <x:v>30</x:v>
      </x:c>
      <x:c r="J14" s="86" t="n">
        <x:v>19.25</x:v>
      </x:c>
      <x:c r="K14" t="str">
        <x:v>Active</x:v>
      </x:c>
    </x:row>
    <x:row r="15" ht="18" customHeight="1">
      <x:c r="A15" t="str">
        <x:v>PRD011</x:v>
      </x:c>
      <x:c r="B15" t="str">
        <x:v>Product 11</x:v>
      </x:c>
      <x:c r="C15" t="str">
        <x:v>Food and Beverages</x:v>
      </x:c>
      <x:c r="D15" t="str">
        <x:v>ABC Choice</x:v>
      </x:c>
      <x:c r="E15" t="str">
        <x:v>Unit</x:v>
      </x:c>
      <x:c r="F15" s="72" t="n">
        <x:v>5675</x:v>
      </x:c>
      <x:c r="G15" s="72" t="n">
        <x:v>7260</x:v>
      </x:c>
      <x:c r="H15" t="n">
        <x:v>35</x:v>
      </x:c>
      <x:c r="I15" t="n">
        <x:v>50</x:v>
      </x:c>
      <x:c r="J15" s="86" t="n">
        <x:v>0</x:v>
      </x:c>
      <x:c r="K15" t="str">
        <x:v>Active</x:v>
      </x:c>
    </x:row>
    <x:row r="16" ht="18" customHeight="1">
      <x:c r="A16" t="str">
        <x:v>PRD012</x:v>
      </x:c>
      <x:c r="B16" t="str">
        <x:v>Product 12</x:v>
      </x:c>
      <x:c r="C16" t="str">
        <x:v>Home and Kitchen</x:v>
      </x:c>
      <x:c r="D16" t="str">
        <x:v>HomePro</x:v>
      </x:c>
      <x:c r="E16" t="str">
        <x:v>Pack</x:v>
      </x:c>
      <x:c r="F16" s="72" t="n">
        <x:v>6100</x:v>
      </x:c>
      <x:c r="G16" s="72" t="n">
        <x:v>7810</x:v>
      </x:c>
      <x:c r="H16" t="n">
        <x:v>10</x:v>
      </x:c>
      <x:c r="I16" t="n">
        <x:v>70</x:v>
      </x:c>
      <x:c r="J16" s="86" t="n">
        <x:v>19.25</x:v>
      </x:c>
      <x:c r="K16" t="str">
        <x:v>Active</x:v>
      </x:c>
    </x:row>
    <x:row r="17" ht="18" customHeight="1">
      <x:c r="A17" t="str">
        <x:v>PRD013</x:v>
      </x:c>
      <x:c r="B17" t="str">
        <x:v>Product 13</x:v>
      </x:c>
      <x:c r="C17" t="str">
        <x:v>Electronics</x:v>
      </x:c>
      <x:c r="D17" t="str">
        <x:v>Voltix</x:v>
      </x:c>
      <x:c r="E17" t="str">
        <x:v>Unit</x:v>
      </x:c>
      <x:c r="F17" s="72" t="n">
        <x:v>6525</x:v>
      </x:c>
      <x:c r="G17" s="72" t="n">
        <x:v>8350</x:v>
      </x:c>
      <x:c r="H17" t="n">
        <x:v>15</x:v>
      </x:c>
      <x:c r="I17" t="n">
        <x:v>90</x:v>
      </x:c>
      <x:c r="J17" s="86" t="n">
        <x:v>19.25</x:v>
      </x:c>
      <x:c r="K17" t="str">
        <x:v>Active</x:v>
      </x:c>
    </x:row>
    <x:row r="18" ht="18" customHeight="1">
      <x:c r="A18" t="str">
        <x:v>PRD014</x:v>
      </x:c>
      <x:c r="B18" t="str">
        <x:v>Product 14</x:v>
      </x:c>
      <x:c r="C18" t="str">
        <x:v>Personal Care</x:v>
      </x:c>
      <x:c r="D18" t="str">
        <x:v>SoftGlow</x:v>
      </x:c>
      <x:c r="E18" t="str">
        <x:v>Unit</x:v>
      </x:c>
      <x:c r="F18" s="72" t="n">
        <x:v>6950</x:v>
      </x:c>
      <x:c r="G18" s="72" t="n">
        <x:v>8900</x:v>
      </x:c>
      <x:c r="H18" t="n">
        <x:v>20</x:v>
      </x:c>
      <x:c r="I18" t="n">
        <x:v>110</x:v>
      </x:c>
      <x:c r="J18" s="86" t="n">
        <x:v>19.25</x:v>
      </x:c>
      <x:c r="K18" t="str">
        <x:v>Active</x:v>
      </x:c>
    </x:row>
    <x:row r="19" ht="18" customHeight="1">
      <x:c r="A19" t="str">
        <x:v>PRD015</x:v>
      </x:c>
      <x:c r="B19" t="str">
        <x:v>Product 15</x:v>
      </x:c>
      <x:c r="C19" t="str">
        <x:v>Office Supplies</x:v>
      </x:c>
      <x:c r="D19" t="str">
        <x:v>PrintRight</x:v>
      </x:c>
      <x:c r="E19" t="str">
        <x:v>Pack</x:v>
      </x:c>
      <x:c r="F19" s="72" t="n">
        <x:v>7375</x:v>
      </x:c>
      <x:c r="G19" s="72" t="n">
        <x:v>9440</x:v>
      </x:c>
      <x:c r="H19" t="n">
        <x:v>25</x:v>
      </x:c>
      <x:c r="I19" t="n">
        <x:v>30</x:v>
      </x:c>
      <x:c r="J19" s="86" t="n">
        <x:v>19.25</x:v>
      </x:c>
      <x:c r="K19" t="str">
        <x:v>Active</x:v>
      </x:c>
    </x:row>
    <x:row r="20" ht="18" customHeight="1">
      <x:c r="A20" t="str">
        <x:v>PRD016</x:v>
      </x:c>
      <x:c r="B20" t="str">
        <x:v>Product 16</x:v>
      </x:c>
      <x:c r="C20" t="str">
        <x:v>Food and Beverages</x:v>
      </x:c>
      <x:c r="D20" t="str">
        <x:v>ABC Choice</x:v>
      </x:c>
      <x:c r="E20" t="str">
        <x:v>Unit</x:v>
      </x:c>
      <x:c r="F20" s="72" t="n">
        <x:v>7800</x:v>
      </x:c>
      <x:c r="G20" s="72" t="n">
        <x:v>9980</x:v>
      </x:c>
      <x:c r="H20" t="n">
        <x:v>30</x:v>
      </x:c>
      <x:c r="I20" t="n">
        <x:v>50</x:v>
      </x:c>
      <x:c r="J20" s="86" t="n">
        <x:v>0</x:v>
      </x:c>
      <x:c r="K20" t="str">
        <x:v>Active</x:v>
      </x:c>
    </x:row>
    <x:row r="21" ht="18" customHeight="1">
      <x:c r="A21" t="str">
        <x:v>PRD017</x:v>
      </x:c>
      <x:c r="B21" t="str">
        <x:v>Product 17</x:v>
      </x:c>
      <x:c r="C21" t="str">
        <x:v>Home and Kitchen</x:v>
      </x:c>
      <x:c r="D21" t="str">
        <x:v>HomePro</x:v>
      </x:c>
      <x:c r="E21" t="str">
        <x:v>Unit</x:v>
      </x:c>
      <x:c r="F21" s="72" t="n">
        <x:v>8225</x:v>
      </x:c>
      <x:c r="G21" s="72" t="n">
        <x:v>10530</x:v>
      </x:c>
      <x:c r="H21" t="n">
        <x:v>35</x:v>
      </x:c>
      <x:c r="I21" t="n">
        <x:v>70</x:v>
      </x:c>
      <x:c r="J21" s="86" t="n">
        <x:v>19.25</x:v>
      </x:c>
      <x:c r="K21" t="str">
        <x:v>Active</x:v>
      </x:c>
    </x:row>
    <x:row r="22" ht="18" customHeight="1">
      <x:c r="A22" t="str">
        <x:v>PRD018</x:v>
      </x:c>
      <x:c r="B22" t="str">
        <x:v>Product 18</x:v>
      </x:c>
      <x:c r="C22" t="str">
        <x:v>Electronics</x:v>
      </x:c>
      <x:c r="D22" t="str">
        <x:v>Voltix</x:v>
      </x:c>
      <x:c r="E22" t="str">
        <x:v>Pack</x:v>
      </x:c>
      <x:c r="F22" s="72" t="n">
        <x:v>8650</x:v>
      </x:c>
      <x:c r="G22" s="72" t="n">
        <x:v>11070</x:v>
      </x:c>
      <x:c r="H22" t="n">
        <x:v>10</x:v>
      </x:c>
      <x:c r="I22" t="n">
        <x:v>90</x:v>
      </x:c>
      <x:c r="J22" s="86" t="n">
        <x:v>19.25</x:v>
      </x:c>
      <x:c r="K22" t="str">
        <x:v>Active</x:v>
      </x:c>
    </x:row>
    <x:row r="23" ht="18" customHeight="1">
      <x:c r="A23" t="str">
        <x:v>PRD019</x:v>
      </x:c>
      <x:c r="B23" t="str">
        <x:v>Product 19</x:v>
      </x:c>
      <x:c r="C23" t="str">
        <x:v>Personal Care</x:v>
      </x:c>
      <x:c r="D23" t="str">
        <x:v>SoftGlow</x:v>
      </x:c>
      <x:c r="E23" t="str">
        <x:v>Unit</x:v>
      </x:c>
      <x:c r="F23" s="72" t="n">
        <x:v>9075</x:v>
      </x:c>
      <x:c r="G23" s="72" t="n">
        <x:v>11620</x:v>
      </x:c>
      <x:c r="H23" t="n">
        <x:v>15</x:v>
      </x:c>
      <x:c r="I23" t="n">
        <x:v>110</x:v>
      </x:c>
      <x:c r="J23" s="86" t="n">
        <x:v>19.25</x:v>
      </x:c>
      <x:c r="K23" t="str">
        <x:v>Active</x:v>
      </x:c>
    </x:row>
    <x:row r="24" ht="18" customHeight="1">
      <x:c r="A24" t="str">
        <x:v>PRD020</x:v>
      </x:c>
      <x:c r="B24" t="str">
        <x:v>Product 20</x:v>
      </x:c>
      <x:c r="C24" t="str">
        <x:v>Office Supplies</x:v>
      </x:c>
      <x:c r="D24" t="str">
        <x:v>PrintRight</x:v>
      </x:c>
      <x:c r="E24" t="str">
        <x:v>Unit</x:v>
      </x:c>
      <x:c r="F24" s="72" t="n">
        <x:v>9500</x:v>
      </x:c>
      <x:c r="G24" s="72" t="n">
        <x:v>12160</x:v>
      </x:c>
      <x:c r="H24" t="n">
        <x:v>20</x:v>
      </x:c>
      <x:c r="I24" t="n">
        <x:v>30</x:v>
      </x:c>
      <x:c r="J24" s="86" t="n">
        <x:v>19.25</x:v>
      </x:c>
      <x:c r="K24" t="str">
        <x:v>Active</x:v>
      </x:c>
    </x:row>
    <x:row r="25" ht="18" customHeight="1">
      <x:c r="A25" t="str">
        <x:v>PRD021</x:v>
      </x:c>
      <x:c r="B25" t="str">
        <x:v>Product 21</x:v>
      </x:c>
      <x:c r="C25" t="str">
        <x:v>Food and Beverages</x:v>
      </x:c>
      <x:c r="D25" t="str">
        <x:v>ABC Choice</x:v>
      </x:c>
      <x:c r="E25" t="str">
        <x:v>Pack</x:v>
      </x:c>
      <x:c r="F25" s="72" t="n">
        <x:v>9925</x:v>
      </x:c>
      <x:c r="G25" s="72" t="n">
        <x:v>12700</x:v>
      </x:c>
      <x:c r="H25" t="n">
        <x:v>25</x:v>
      </x:c>
      <x:c r="I25" t="n">
        <x:v>50</x:v>
      </x:c>
      <x:c r="J25" s="86" t="n">
        <x:v>0</x:v>
      </x:c>
      <x:c r="K25" t="str">
        <x:v>Active</x:v>
      </x:c>
    </x:row>
    <x:row r="26" ht="18" customHeight="1">
      <x:c r="A26" t="str">
        <x:v>PRD022</x:v>
      </x:c>
      <x:c r="B26" t="str">
        <x:v>Product 22</x:v>
      </x:c>
      <x:c r="C26" t="str">
        <x:v>Home and Kitchen</x:v>
      </x:c>
      <x:c r="D26" t="str">
        <x:v>HomePro</x:v>
      </x:c>
      <x:c r="E26" t="str">
        <x:v>Unit</x:v>
      </x:c>
      <x:c r="F26" s="72" t="n">
        <x:v>10350</x:v>
      </x:c>
      <x:c r="G26" s="72" t="n">
        <x:v>13250</x:v>
      </x:c>
      <x:c r="H26" t="n">
        <x:v>30</x:v>
      </x:c>
      <x:c r="I26" t="n">
        <x:v>70</x:v>
      </x:c>
      <x:c r="J26" s="86" t="n">
        <x:v>19.25</x:v>
      </x:c>
      <x:c r="K26" t="str">
        <x:v>Active</x:v>
      </x:c>
    </x:row>
    <x:row r="27" ht="18" customHeight="1">
      <x:c r="A27" t="str">
        <x:v>PRD023</x:v>
      </x:c>
      <x:c r="B27" t="str">
        <x:v>Product 23</x:v>
      </x:c>
      <x:c r="C27" t="str">
        <x:v>Electronics</x:v>
      </x:c>
      <x:c r="D27" t="str">
        <x:v>Voltix</x:v>
      </x:c>
      <x:c r="E27" t="str">
        <x:v>Unit</x:v>
      </x:c>
      <x:c r="F27" s="72" t="n">
        <x:v>10775</x:v>
      </x:c>
      <x:c r="G27" s="72" t="n">
        <x:v>13790</x:v>
      </x:c>
      <x:c r="H27" t="n">
        <x:v>35</x:v>
      </x:c>
      <x:c r="I27" t="n">
        <x:v>90</x:v>
      </x:c>
      <x:c r="J27" s="86" t="n">
        <x:v>19.25</x:v>
      </x:c>
      <x:c r="K27" t="str">
        <x:v>Active</x:v>
      </x:c>
    </x:row>
    <x:row r="28" ht="18" customHeight="1">
      <x:c r="A28" t="str">
        <x:v>PRD024</x:v>
      </x:c>
      <x:c r="B28" t="str">
        <x:v>Product 24</x:v>
      </x:c>
      <x:c r="C28" t="str">
        <x:v>Personal Care</x:v>
      </x:c>
      <x:c r="D28" t="str">
        <x:v>SoftGlow</x:v>
      </x:c>
      <x:c r="E28" t="str">
        <x:v>Pack</x:v>
      </x:c>
      <x:c r="F28" s="72" t="n">
        <x:v>11200</x:v>
      </x:c>
      <x:c r="G28" s="72" t="n">
        <x:v>14340</x:v>
      </x:c>
      <x:c r="H28" t="n">
        <x:v>10</x:v>
      </x:c>
      <x:c r="I28" t="n">
        <x:v>110</x:v>
      </x:c>
      <x:c r="J28" s="86" t="n">
        <x:v>19.25</x:v>
      </x:c>
      <x:c r="K28" t="str">
        <x:v>Active</x:v>
      </x:c>
    </x:row>
    <x:row r="29" ht="18" customHeight="1">
      <x:c r="A29" t="str">
        <x:v>PRD025</x:v>
      </x:c>
      <x:c r="B29" t="str">
        <x:v>Product 25</x:v>
      </x:c>
      <x:c r="C29" t="str">
        <x:v>Office Supplies</x:v>
      </x:c>
      <x:c r="D29" t="str">
        <x:v>PrintRight</x:v>
      </x:c>
      <x:c r="E29" t="str">
        <x:v>Unit</x:v>
      </x:c>
      <x:c r="F29" s="72" t="n">
        <x:v>11625</x:v>
      </x:c>
      <x:c r="G29" s="72" t="n">
        <x:v>14880</x:v>
      </x:c>
      <x:c r="H29" t="n">
        <x:v>15</x:v>
      </x:c>
      <x:c r="I29" t="n">
        <x:v>30</x:v>
      </x:c>
      <x:c r="J29" s="86" t="n">
        <x:v>19.25</x:v>
      </x:c>
      <x:c r="K29" t="str">
        <x:v>Active</x:v>
      </x:c>
    </x:row>
    <x:row r="30" ht="18" customHeight="1">
      <x:c r="A30" t="str">
        <x:v>PRD026</x:v>
      </x:c>
      <x:c r="B30" t="str">
        <x:v>Product 26</x:v>
      </x:c>
      <x:c r="C30" t="str">
        <x:v>Food and Beverages</x:v>
      </x:c>
      <x:c r="D30" t="str">
        <x:v>ABC Choice</x:v>
      </x:c>
      <x:c r="E30" t="str">
        <x:v>Unit</x:v>
      </x:c>
      <x:c r="F30" s="72" t="n">
        <x:v>12050</x:v>
      </x:c>
      <x:c r="G30" s="72" t="n">
        <x:v>15420</x:v>
      </x:c>
      <x:c r="H30" t="n">
        <x:v>20</x:v>
      </x:c>
      <x:c r="I30" t="n">
        <x:v>50</x:v>
      </x:c>
      <x:c r="J30" s="86" t="n">
        <x:v>0</x:v>
      </x:c>
      <x:c r="K30" t="str">
        <x:v>Active</x:v>
      </x:c>
    </x:row>
    <x:row r="31" ht="18" customHeight="1">
      <x:c r="A31" t="str">
        <x:v>PRD027</x:v>
      </x:c>
      <x:c r="B31" t="str">
        <x:v>Product 27</x:v>
      </x:c>
      <x:c r="C31" t="str">
        <x:v>Home and Kitchen</x:v>
      </x:c>
      <x:c r="D31" t="str">
        <x:v>HomePro</x:v>
      </x:c>
      <x:c r="E31" t="str">
        <x:v>Pack</x:v>
      </x:c>
      <x:c r="F31" s="72" t="n">
        <x:v>12475</x:v>
      </x:c>
      <x:c r="G31" s="72" t="n">
        <x:v>15970</x:v>
      </x:c>
      <x:c r="H31" t="n">
        <x:v>25</x:v>
      </x:c>
      <x:c r="I31" t="n">
        <x:v>70</x:v>
      </x:c>
      <x:c r="J31" s="86" t="n">
        <x:v>19.25</x:v>
      </x:c>
      <x:c r="K31" t="str">
        <x:v>Active</x:v>
      </x:c>
    </x:row>
    <x:row r="32" ht="18" customHeight="1">
      <x:c r="A32" t="str">
        <x:v>PRD028</x:v>
      </x:c>
      <x:c r="B32" t="str">
        <x:v>Product 28</x:v>
      </x:c>
      <x:c r="C32" t="str">
        <x:v>Electronics</x:v>
      </x:c>
      <x:c r="D32" t="str">
        <x:v>Voltix</x:v>
      </x:c>
      <x:c r="E32" t="str">
        <x:v>Unit</x:v>
      </x:c>
      <x:c r="F32" s="72" t="n">
        <x:v>12900</x:v>
      </x:c>
      <x:c r="G32" s="72" t="n">
        <x:v>16510</x:v>
      </x:c>
      <x:c r="H32" t="n">
        <x:v>30</x:v>
      </x:c>
      <x:c r="I32" t="n">
        <x:v>90</x:v>
      </x:c>
      <x:c r="J32" s="86" t="n">
        <x:v>19.25</x:v>
      </x:c>
      <x:c r="K32" t="str">
        <x:v>Active</x:v>
      </x:c>
    </x:row>
    <x:row r="33" ht="18" customHeight="1">
      <x:c r="A33" t="str">
        <x:v>PRD029</x:v>
      </x:c>
      <x:c r="B33" t="str">
        <x:v>Product 29</x:v>
      </x:c>
      <x:c r="C33" t="str">
        <x:v>Personal Care</x:v>
      </x:c>
      <x:c r="D33" t="str">
        <x:v>SoftGlow</x:v>
      </x:c>
      <x:c r="E33" t="str">
        <x:v>Unit</x:v>
      </x:c>
      <x:c r="F33" s="72" t="n">
        <x:v>13325</x:v>
      </x:c>
      <x:c r="G33" s="72" t="n">
        <x:v>17060</x:v>
      </x:c>
      <x:c r="H33" t="n">
        <x:v>35</x:v>
      </x:c>
      <x:c r="I33" t="n">
        <x:v>110</x:v>
      </x:c>
      <x:c r="J33" s="86" t="n">
        <x:v>19.25</x:v>
      </x:c>
      <x:c r="K33" t="str">
        <x:v>Active</x:v>
      </x:c>
    </x:row>
    <x:row r="34" ht="18" customHeight="1">
      <x:c r="A34" t="str">
        <x:v>PRD030</x:v>
      </x:c>
      <x:c r="B34" t="str">
        <x:v>Product 30</x:v>
      </x:c>
      <x:c r="C34" t="str">
        <x:v>Office Supplies</x:v>
      </x:c>
      <x:c r="D34" t="str">
        <x:v>PrintRight</x:v>
      </x:c>
      <x:c r="E34" t="str">
        <x:v>Pack</x:v>
      </x:c>
      <x:c r="F34" s="72" t="n">
        <x:v>13750</x:v>
      </x:c>
      <x:c r="G34" s="72" t="n">
        <x:v>17600</x:v>
      </x:c>
      <x:c r="H34" t="n">
        <x:v>10</x:v>
      </x:c>
      <x:c r="I34" t="n">
        <x:v>30</x:v>
      </x:c>
      <x:c r="J34" s="86" t="n">
        <x:v>19.25</x:v>
      </x:c>
      <x:c r="K34" t="str">
        <x:v>Active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974e303223bb4a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6" hidden="0" customWidth="1"/>
    <x:col min="5" max="5" width="6.380000114440918" hidden="0" customWidth="1"/>
    <x:col min="6" max="6" width="10.5" hidden="0" customWidth="1"/>
    <x:col min="7" max="7" width="12.25" hidden="0" customWidth="1"/>
    <x:col min="8" max="8" width="13.5" hidden="0" customWidth="1"/>
    <x:col min="9" max="9" width="16.25" hidden="0" customWidth="1"/>
    <x:col min="10" max="10" width="12.380000114440918" hidden="0" customWidth="1"/>
    <x:col min="11" max="11" width="7.75" hidden="0" customWidth="1"/>
  </x:cols>
  <x:sheetData>
    <x:row r="1" ht="30" customHeight="1">
      <x:c r="A1" s="5" t="str">
        <x:v>Products — Messy Practice Data</x:v>
      </x:c>
    </x:row>
    <x:row r="3">
      <x:c r="A3" s="82" t="str">
        <x:v>INTENTIONALLY MESSY DATASET — FOR CLEANING PRACTICE</x:v>
      </x:c>
    </x:row>
    <x:row r="4">
      <x:c r="A4" s="51" t="str">
        <x:v>Product ID</x:v>
      </x:c>
      <x:c r="B4" s="52" t="str">
        <x:v>Product Name</x:v>
      </x:c>
      <x:c r="C4" s="52" t="str">
        <x:v>Category</x:v>
      </x:c>
      <x:c r="D4" s="52" t="str">
        <x:v>Brand</x:v>
      </x:c>
      <x:c r="E4" s="52" t="str">
        <x:v>Unit</x:v>
      </x:c>
      <x:c r="F4" s="52" t="str">
        <x:v>Cost Price</x:v>
      </x:c>
      <x:c r="G4" s="52" t="str">
        <x:v>Selling Price</x:v>
      </x:c>
      <x:c r="H4" s="52" t="str">
        <x:v>Reorder Level</x:v>
      </x:c>
      <x:c r="I4" s="52" t="str">
        <x:v>Reorder Quantity</x:v>
      </x:c>
      <x:c r="J4" s="52" t="str">
        <x:v>Tax Rate (%)</x:v>
      </x:c>
      <x:c r="K4" s="53" t="str">
        <x:v>Status</x:v>
      </x:c>
    </x:row>
    <x:row r="5" ht="18" customHeight="1">
      <x:c r="A5" t="str">
        <x:v>PRD001</x:v>
      </x:c>
      <x:c r="B5" t="str">
        <x:v> product 1</x:v>
      </x:c>
      <x:c r="C5" t="str">
        <x:v>Food and Beverages</x:v>
      </x:c>
      <x:c r="D5" t="str">
        <x:v>ABC Choice</x:v>
      </x:c>
      <x:c r="E5" t="str">
        <x:v>Unit</x:v>
      </x:c>
      <x:c r="F5" t="n">
        <x:v>1425</x:v>
      </x:c>
      <x:c r="G5" t="n">
        <x:v>1820</x:v>
      </x:c>
      <x:c r="H5" t="n">
        <x:v>15</x:v>
      </x:c>
      <x:c r="I5" t="n">
        <x:v>50</x:v>
      </x:c>
      <x:c r="J5" t="n">
        <x:v>0</x:v>
      </x:c>
      <x:c r="K5" t="str">
        <x:v>Active</x:v>
      </x:c>
    </x:row>
    <x:row r="6" ht="18" customHeight="1">
      <x:c r="A6" t="str">
        <x:v>PRD002</x:v>
      </x:c>
      <x:c r="B6" t="str">
        <x:v>Product 2</x:v>
      </x:c>
      <x:c r="C6" t="str">
        <x:v>Home and Kitchen</x:v>
      </x:c>
      <x:c r="D6" t="str">
        <x:v>HomePro</x:v>
      </x:c>
      <x:c r="E6" t="str">
        <x:v>Unit</x:v>
      </x:c>
      <x:c r="F6" t="n">
        <x:v>1850</x:v>
      </x:c>
      <x:c r="G6" t="n">
        <x:v>2370</x:v>
      </x:c>
      <x:c r="H6" t="n">
        <x:v>20</x:v>
      </x:c>
      <x:c r="I6" t="n">
        <x:v>70</x:v>
      </x:c>
      <x:c r="J6" t="n">
        <x:v>19.25</x:v>
      </x:c>
      <x:c r="K6" t="str">
        <x:v>Active</x:v>
      </x:c>
    </x:row>
    <x:row r="7" ht="18" customHeight="1">
      <x:c r="A7" t="str">
        <x:v>PRD003</x:v>
      </x:c>
      <x:c r="B7" t="str">
        <x:v>Product 3</x:v>
      </x:c>
      <x:c r="C7" t="str">
        <x:v>Electronics</x:v>
      </x:c>
      <x:c r="D7" t="str">
        <x:v>Voltix</x:v>
      </x:c>
      <x:c r="E7" t="str">
        <x:v>Pack</x:v>
      </x:c>
      <x:c r="F7" t="n">
        <x:v>2275</x:v>
      </x:c>
      <x:c r="G7" t="n">
        <x:v>2910</x:v>
      </x:c>
      <x:c r="H7" t="n">
        <x:v>25</x:v>
      </x:c>
      <x:c r="I7" t="n">
        <x:v>90</x:v>
      </x:c>
      <x:c r="J7" t="n">
        <x:v>19.25</x:v>
      </x:c>
      <x:c r="K7" t="str">
        <x:v>Active</x:v>
      </x:c>
    </x:row>
    <x:row r="8" ht="18" customHeight="1">
      <x:c r="A8" t="str">
        <x:v>PRD004</x:v>
      </x:c>
      <x:c r="B8" t="str">
        <x:v>Product 4</x:v>
      </x:c>
      <x:c r="C8" t="str">
        <x:v>Personal Care</x:v>
      </x:c>
      <x:c r="D8" t="str">
        <x:v>SoftGlow</x:v>
      </x:c>
      <x:c r="E8" t="str">
        <x:v>Unit</x:v>
      </x:c>
      <x:c r="F8" t="n">
        <x:v>2700</x:v>
      </x:c>
      <x:c r="G8" t="n">
        <x:v>3460</x:v>
      </x:c>
      <x:c r="H8" t="n">
        <x:v>30</x:v>
      </x:c>
      <x:c r="I8" t="n">
        <x:v>110</x:v>
      </x:c>
      <x:c r="J8" t="n">
        <x:v>19.25</x:v>
      </x:c>
      <x:c r="K8" t="str">
        <x:v>Active</x:v>
      </x:c>
    </x:row>
    <x:row r="9" ht="18" customHeight="1">
      <x:c r="A9" t="str">
        <x:v>PRD005</x:v>
      </x:c>
      <x:c r="B9" t="str">
        <x:v>Product 5</x:v>
      </x:c>
      <x:c r="C9" t="str">
        <x:v>electronics </x:v>
      </x:c>
      <x:c r="D9" t="str">
        <x:v>PrintRight</x:v>
      </x:c>
      <x:c r="E9" t="str">
        <x:v>Unit</x:v>
      </x:c>
      <x:c r="F9" t="n">
        <x:v>3125</x:v>
      </x:c>
      <x:c r="G9" t="n">
        <x:v>4000</x:v>
      </x:c>
      <x:c r="H9" t="n">
        <x:v>35</x:v>
      </x:c>
      <x:c r="I9" t="n">
        <x:v>30</x:v>
      </x:c>
      <x:c r="J9" t="n">
        <x:v>19.25</x:v>
      </x:c>
      <x:c r="K9" t="str">
        <x:v>Active</x:v>
      </x:c>
    </x:row>
    <x:row r="10" ht="18" customHeight="1">
      <x:c r="A10" t="str">
        <x:v>PRD006</x:v>
      </x:c>
      <x:c r="B10" t="str">
        <x:v>Product 6</x:v>
      </x:c>
      <x:c r="C10" t="str">
        <x:v>Food and Beverages</x:v>
      </x:c>
      <x:c r="D10" t="str">
        <x:v>ABC Choice</x:v>
      </x:c>
      <x:c r="E10" t="str">
        <x:v>Pack</x:v>
      </x:c>
      <x:c r="F10" t="n">
        <x:v>3550</x:v>
      </x:c>
      <x:c r="G10" t="n">
        <x:v>4540</x:v>
      </x:c>
      <x:c r="H10" t="n">
        <x:v>10</x:v>
      </x:c>
      <x:c r="I10" t="n">
        <x:v>50</x:v>
      </x:c>
      <x:c r="J10" t="n">
        <x:v>0</x:v>
      </x:c>
      <x:c r="K10" t="str">
        <x:v>Active</x:v>
      </x:c>
    </x:row>
    <x:row r="11" ht="18" customHeight="1">
      <x:c r="A11" t="str">
        <x:v>PRD007</x:v>
      </x:c>
      <x:c r="B11" t="str">
        <x:v>Product 7</x:v>
      </x:c>
      <x:c r="C11" t="str">
        <x:v>Home and Kitchen</x:v>
      </x:c>
      <x:c r="D11" t="str">
        <x:v>HomePro</x:v>
      </x:c>
      <x:c r="E11" t="str">
        <x:v>Unit</x:v>
      </x:c>
      <x:c r="F11" t="n">
        <x:v>3975</x:v>
      </x:c>
      <x:c r="G11" t="n">
        <x:v>5090</x:v>
      </x:c>
      <x:c r="H11" t="n">
        <x:v>15</x:v>
      </x:c>
      <x:c r="I11" t="n">
        <x:v>70</x:v>
      </x:c>
      <x:c r="J11" t="n">
        <x:v>19.25</x:v>
      </x:c>
      <x:c r="K11" t="str">
        <x:v>Active</x:v>
      </x:c>
    </x:row>
    <x:row r="12" ht="18" customHeight="1">
      <x:c r="A12" t="str">
        <x:v>PRD008</x:v>
      </x:c>
      <x:c r="B12" t="str">
        <x:v>Product 8</x:v>
      </x:c>
      <x:c r="C12" t="str">
        <x:v>Electronics</x:v>
      </x:c>
      <x:c r="D12" t="str">
        <x:v>VOLTiX</x:v>
      </x:c>
      <x:c r="E12" t="str">
        <x:v>Unit</x:v>
      </x:c>
      <x:c r="F12" t="n">
        <x:v>4400</x:v>
      </x:c>
      <x:c r="G12" t="n">
        <x:v>5630</x:v>
      </x:c>
      <x:c r="H12" t="n">
        <x:v>20</x:v>
      </x:c>
      <x:c r="I12" t="n">
        <x:v>90</x:v>
      </x:c>
      <x:c r="J12" t="n">
        <x:v>19.25</x:v>
      </x:c>
      <x:c r="K12" t="str">
        <x:v>Active</x:v>
      </x:c>
    </x:row>
    <x:row r="13" ht="18" customHeight="1">
      <x:c r="A13" t="str">
        <x:v>PRD009</x:v>
      </x:c>
      <x:c r="B13" t="str">
        <x:v>Product 9</x:v>
      </x:c>
      <x:c r="C13" t="str">
        <x:v>Personal Care</x:v>
      </x:c>
      <x:c r="D13" t="str">
        <x:v>SoftGlow</x:v>
      </x:c>
      <x:c r="E13" t="str">
        <x:v>Pack</x:v>
      </x:c>
      <x:c r="F13" t="n">
        <x:v>4825</x:v>
      </x:c>
      <x:c r="G13" t="n">
        <x:v>6180</x:v>
      </x:c>
      <x:c r="H13" t="n">
        <x:v>25</x:v>
      </x:c>
      <x:c r="I13" t="n">
        <x:v>110</x:v>
      </x:c>
      <x:c r="J13" t="n">
        <x:v>19.25</x:v>
      </x:c>
      <x:c r="K13" t="str">
        <x:v>Active</x:v>
      </x:c>
    </x:row>
    <x:row r="14" ht="18" customHeight="1">
      <x:c r="A14" t="str">
        <x:v>PRD010</x:v>
      </x:c>
      <x:c r="B14" t="str">
        <x:v>Product 10</x:v>
      </x:c>
      <x:c r="C14" t="str">
        <x:v>Office Supplies</x:v>
      </x:c>
      <x:c r="D14" t="str">
        <x:v>PrintRight</x:v>
      </x:c>
      <x:c r="E14" t="str">
        <x:v>Unit</x:v>
      </x:c>
      <x:c r="F14" t="n">
        <x:v>-2500</x:v>
      </x:c>
      <x:c r="G14" t="n">
        <x:v>6720</x:v>
      </x:c>
      <x:c r="H14" t="n">
        <x:v>30</x:v>
      </x:c>
      <x:c r="I14" t="n">
        <x:v>30</x:v>
      </x:c>
      <x:c r="J14" t="n">
        <x:v>19.25</x:v>
      </x:c>
      <x:c r="K14" t="str">
        <x:v>Active</x:v>
      </x:c>
    </x:row>
    <x:row r="15" ht="18" customHeight="1">
      <x:c r="A15" t="str">
        <x:v>PRD011</x:v>
      </x:c>
      <x:c r="B15" t="str">
        <x:v>Product 11</x:v>
      </x:c>
      <x:c r="C15" t="str">
        <x:v>Food and Beverages</x:v>
      </x:c>
      <x:c r="D15" t="str">
        <x:v>ABC Choice</x:v>
      </x:c>
      <x:c r="E15" t="str">
        <x:v>Unit</x:v>
      </x:c>
      <x:c r="F15" t="n">
        <x:v>5675</x:v>
      </x:c>
      <x:c r="G15" t="n">
        <x:v>7260</x:v>
      </x:c>
      <x:c r="H15" t="n">
        <x:v>35</x:v>
      </x:c>
      <x:c r="I15" t="n">
        <x:v>50</x:v>
      </x:c>
      <x:c r="J15" t="n">
        <x:v>0</x:v>
      </x:c>
      <x:c r="K15" t="str">
        <x:v>Active</x:v>
      </x:c>
    </x:row>
    <x:row r="16" ht="18" customHeight="1">
      <x:c r="A16" t="str">
        <x:v>PRD012</x:v>
      </x:c>
      <x:c r="B16" t="str">
        <x:v>Product 12</x:v>
      </x:c>
      <x:c r="C16" t="str">
        <x:v>Home and Kitchen</x:v>
      </x:c>
      <x:c r="D16" t="str">
        <x:v>HomePro</x:v>
      </x:c>
      <x:c r="E16" t="str">
        <x:v>Pack</x:v>
      </x:c>
      <x:c r="F16" t="n">
        <x:v>6100</x:v>
      </x:c>
      <x:c r="G16" t="str"/>
      <x:c r="H16" t="n">
        <x:v>10</x:v>
      </x:c>
      <x:c r="I16" t="n">
        <x:v>70</x:v>
      </x:c>
      <x:c r="J16" t="n">
        <x:v>19.25</x:v>
      </x:c>
      <x:c r="K16" t="str">
        <x:v>Active</x:v>
      </x:c>
    </x:row>
    <x:row r="17" ht="18" customHeight="1">
      <x:c r="A17" t="str">
        <x:v>PRD013</x:v>
      </x:c>
      <x:c r="B17" t="str">
        <x:v>Product 13</x:v>
      </x:c>
      <x:c r="C17" t="str">
        <x:v>Electronics</x:v>
      </x:c>
      <x:c r="D17" t="str">
        <x:v>Voltix</x:v>
      </x:c>
      <x:c r="E17" t="str">
        <x:v>Unit</x:v>
      </x:c>
      <x:c r="F17" t="n">
        <x:v>6525</x:v>
      </x:c>
      <x:c r="G17" t="n">
        <x:v>8350</x:v>
      </x:c>
      <x:c r="H17" t="n">
        <x:v>15</x:v>
      </x:c>
      <x:c r="I17" t="n">
        <x:v>90</x:v>
      </x:c>
      <x:c r="J17" t="n">
        <x:v>19.25</x:v>
      </x:c>
      <x:c r="K17" t="str">
        <x:v>Active</x:v>
      </x:c>
    </x:row>
    <x:row r="18" ht="18" customHeight="1">
      <x:c r="A18" t="str">
        <x:v>PRD014</x:v>
      </x:c>
      <x:c r="B18" t="str">
        <x:v>Product 14</x:v>
      </x:c>
      <x:c r="C18" t="str">
        <x:v>Personal Care</x:v>
      </x:c>
      <x:c r="D18" t="str">
        <x:v>SoftGlow</x:v>
      </x:c>
      <x:c r="E18" t="str">
        <x:v>Unit</x:v>
      </x:c>
      <x:c r="F18" t="n">
        <x:v>6950</x:v>
      </x:c>
      <x:c r="G18" t="n">
        <x:v>8900</x:v>
      </x:c>
      <x:c r="H18" t="n">
        <x:v>20</x:v>
      </x:c>
      <x:c r="I18" t="n">
        <x:v>110</x:v>
      </x:c>
      <x:c r="J18" t="n">
        <x:v>19.25</x:v>
      </x:c>
      <x:c r="K18" t="str">
        <x:v>Active</x:v>
      </x:c>
    </x:row>
    <x:row r="19" ht="18" customHeight="1">
      <x:c r="A19" t="str">
        <x:v>PRD015</x:v>
      </x:c>
      <x:c r="B19" t="str">
        <x:v>Product 15</x:v>
      </x:c>
      <x:c r="C19" t="str">
        <x:v>Office Supplies</x:v>
      </x:c>
      <x:c r="D19" t="str">
        <x:v>PrintRight</x:v>
      </x:c>
      <x:c r="E19" t="str">
        <x:v>Pack</x:v>
      </x:c>
      <x:c r="F19" t="n">
        <x:v>7375</x:v>
      </x:c>
      <x:c r="G19" t="n">
        <x:v>9440</x:v>
      </x:c>
      <x:c r="H19" t="str">
        <x:v>ten</x:v>
      </x:c>
      <x:c r="I19" t="n">
        <x:v>30</x:v>
      </x:c>
      <x:c r="J19" t="n">
        <x:v>19.25</x:v>
      </x:c>
      <x:c r="K19" t="str">
        <x:v>Active</x:v>
      </x:c>
    </x:row>
    <x:row r="20" ht="18" customHeight="1">
      <x:c r="A20" t="str">
        <x:v>PRD016</x:v>
      </x:c>
      <x:c r="B20" t="str">
        <x:v>Product 16</x:v>
      </x:c>
      <x:c r="C20" t="str">
        <x:v>Food and Beverages</x:v>
      </x:c>
      <x:c r="D20" t="str">
        <x:v>ABC Choice</x:v>
      </x:c>
      <x:c r="E20" t="str">
        <x:v>Unit</x:v>
      </x:c>
      <x:c r="F20" t="n">
        <x:v>7800</x:v>
      </x:c>
      <x:c r="G20" t="n">
        <x:v>9980</x:v>
      </x:c>
      <x:c r="H20" t="n">
        <x:v>30</x:v>
      </x:c>
      <x:c r="I20" t="n">
        <x:v>50</x:v>
      </x:c>
      <x:c r="J20" t="n">
        <x:v>0</x:v>
      </x:c>
      <x:c r="K20" t="str">
        <x:v>Active</x:v>
      </x:c>
    </x:row>
    <x:row r="21" ht="18" customHeight="1">
      <x:c r="A21" t="str">
        <x:v>PRD017</x:v>
      </x:c>
      <x:c r="B21" t="str">
        <x:v>Product 17</x:v>
      </x:c>
      <x:c r="C21" t="str">
        <x:v>Home and Kitchen</x:v>
      </x:c>
      <x:c r="D21" t="str">
        <x:v>HomePro</x:v>
      </x:c>
      <x:c r="E21" t="str">
        <x:v>Unit</x:v>
      </x:c>
      <x:c r="F21" t="n">
        <x:v>8225</x:v>
      </x:c>
      <x:c r="G21" t="n">
        <x:v>10530</x:v>
      </x:c>
      <x:c r="H21" t="n">
        <x:v>35</x:v>
      </x:c>
      <x:c r="I21" t="n">
        <x:v>-5</x:v>
      </x:c>
      <x:c r="J21" t="n">
        <x:v>19.25</x:v>
      </x:c>
      <x:c r="K21" t="str">
        <x:v>Active</x:v>
      </x:c>
    </x:row>
    <x:row r="22" ht="18" customHeight="1">
      <x:c r="A22" t="str">
        <x:v>PRD018</x:v>
      </x:c>
      <x:c r="B22" t="str">
        <x:v>Product 18</x:v>
      </x:c>
      <x:c r="C22" t="str">
        <x:v>Electronics</x:v>
      </x:c>
      <x:c r="D22" t="str">
        <x:v>Voltix</x:v>
      </x:c>
      <x:c r="E22" t="str">
        <x:v>Pack</x:v>
      </x:c>
      <x:c r="F22" t="n">
        <x:v>8650</x:v>
      </x:c>
      <x:c r="G22" t="n">
        <x:v>11070</x:v>
      </x:c>
      <x:c r="H22" t="n">
        <x:v>10</x:v>
      </x:c>
      <x:c r="I22" t="n">
        <x:v>90</x:v>
      </x:c>
      <x:c r="J22" t="n">
        <x:v>19.25</x:v>
      </x:c>
      <x:c r="K22" t="str">
        <x:v>Active</x:v>
      </x:c>
    </x:row>
    <x:row r="23" ht="18" customHeight="1">
      <x:c r="A23" t="str">
        <x:v>PRD019</x:v>
      </x:c>
      <x:c r="B23" t="str">
        <x:v>Product 19</x:v>
      </x:c>
      <x:c r="C23" t="str">
        <x:v>Personal Care</x:v>
      </x:c>
      <x:c r="D23" t="str">
        <x:v>SoftGlow</x:v>
      </x:c>
      <x:c r="E23" t="str">
        <x:v>Unit</x:v>
      </x:c>
      <x:c r="F23" t="n">
        <x:v>9075</x:v>
      </x:c>
      <x:c r="G23" t="n">
        <x:v>11620</x:v>
      </x:c>
      <x:c r="H23" t="n">
        <x:v>15</x:v>
      </x:c>
      <x:c r="I23" t="n">
        <x:v>110</x:v>
      </x:c>
      <x:c r="J23" t="n">
        <x:v>19.25</x:v>
      </x:c>
      <x:c r="K23" t="str">
        <x:v>Active</x:v>
      </x:c>
    </x:row>
    <x:row r="24" ht="18" customHeight="1">
      <x:c r="A24" t="str">
        <x:v>PRD020</x:v>
      </x:c>
      <x:c r="B24" t="str">
        <x:v>Product 20</x:v>
      </x:c>
      <x:c r="C24" t="str">
        <x:v>Office Supplies</x:v>
      </x:c>
      <x:c r="D24" t="str">
        <x:v>PrintRight</x:v>
      </x:c>
      <x:c r="E24" t="str">
        <x:v>Unit</x:v>
      </x:c>
      <x:c r="F24" t="n">
        <x:v>9500</x:v>
      </x:c>
      <x:c r="G24" t="n">
        <x:v>12160</x:v>
      </x:c>
      <x:c r="H24" t="n">
        <x:v>20</x:v>
      </x:c>
      <x:c r="I24" t="n">
        <x:v>30</x:v>
      </x:c>
      <x:c r="J24" t="n">
        <x:v>1925</x:v>
      </x:c>
      <x:c r="K24" t="str">
        <x:v>Active</x:v>
      </x:c>
    </x:row>
    <x:row r="25" ht="18" customHeight="1">
      <x:c r="A25" t="str">
        <x:v>PRD021</x:v>
      </x:c>
      <x:c r="B25" t="str">
        <x:v>Product 21</x:v>
      </x:c>
      <x:c r="C25" t="str">
        <x:v>Food and Beverages</x:v>
      </x:c>
      <x:c r="D25" t="str">
        <x:v>ABC Choice</x:v>
      </x:c>
      <x:c r="E25" t="str">
        <x:v>Pack</x:v>
      </x:c>
      <x:c r="F25" t="n">
        <x:v>9925</x:v>
      </x:c>
      <x:c r="G25" t="n">
        <x:v>12700</x:v>
      </x:c>
      <x:c r="H25" t="n">
        <x:v>25</x:v>
      </x:c>
      <x:c r="I25" t="n">
        <x:v>50</x:v>
      </x:c>
      <x:c r="J25" t="n">
        <x:v>0</x:v>
      </x:c>
      <x:c r="K25" t="str">
        <x:v>Active</x:v>
      </x:c>
    </x:row>
    <x:row r="26" ht="18" customHeight="1">
      <x:c r="A26" t="str">
        <x:v>PRD022</x:v>
      </x:c>
      <x:c r="B26" t="str">
        <x:v>Product 22</x:v>
      </x:c>
      <x:c r="C26" t="str">
        <x:v>Home and Kitchen</x:v>
      </x:c>
      <x:c r="D26" t="str">
        <x:v>HomePro</x:v>
      </x:c>
      <x:c r="E26" t="str">
        <x:v>Unit</x:v>
      </x:c>
      <x:c r="F26" t="n">
        <x:v>10350</x:v>
      </x:c>
      <x:c r="G26" t="n">
        <x:v>13250</x:v>
      </x:c>
      <x:c r="H26" t="n">
        <x:v>30</x:v>
      </x:c>
      <x:c r="I26" t="n">
        <x:v>70</x:v>
      </x:c>
      <x:c r="J26" t="n">
        <x:v>19.25</x:v>
      </x:c>
      <x:c r="K26" t="str">
        <x:v>inactive </x:v>
      </x:c>
    </x:row>
    <x:row r="27" ht="18" customHeight="1">
      <x:c r="A27" t="str">
        <x:v>PRD023</x:v>
      </x:c>
      <x:c r="B27" t="str">
        <x:v>Product 23</x:v>
      </x:c>
      <x:c r="C27" t="str">
        <x:v>Electronics</x:v>
      </x:c>
      <x:c r="D27" t="str">
        <x:v>Voltix</x:v>
      </x:c>
      <x:c r="E27" t="str">
        <x:v>Unit</x:v>
      </x:c>
      <x:c r="F27" t="n">
        <x:v>10775</x:v>
      </x:c>
      <x:c r="G27" t="n">
        <x:v>13790</x:v>
      </x:c>
      <x:c r="H27" t="n">
        <x:v>35</x:v>
      </x:c>
      <x:c r="I27" t="n">
        <x:v>90</x:v>
      </x:c>
      <x:c r="J27" t="n">
        <x:v>19.25</x:v>
      </x:c>
      <x:c r="K27" t="str">
        <x:v>Active</x:v>
      </x:c>
    </x:row>
    <x:row r="28" ht="18" customHeight="1">
      <x:c r="A28" t="str">
        <x:v>PRD024</x:v>
      </x:c>
      <x:c r="B28" t="str">
        <x:v>Product 24</x:v>
      </x:c>
      <x:c r="C28" t="str">
        <x:v>Personal Care</x:v>
      </x:c>
      <x:c r="D28" t="str">
        <x:v>SoftGlow</x:v>
      </x:c>
      <x:c r="E28" t="str">
        <x:v>Pack</x:v>
      </x:c>
      <x:c r="F28" t="n">
        <x:v>11200</x:v>
      </x:c>
      <x:c r="G28" t="n">
        <x:v>14340</x:v>
      </x:c>
      <x:c r="H28" t="n">
        <x:v>10</x:v>
      </x:c>
      <x:c r="I28" t="n">
        <x:v>110</x:v>
      </x:c>
      <x:c r="J28" t="n">
        <x:v>19.25</x:v>
      </x:c>
      <x:c r="K28" t="str">
        <x:v>Active</x:v>
      </x:c>
    </x:row>
    <x:row r="29" ht="18" customHeight="1">
      <x:c r="A29" t="str">
        <x:v>PRD025</x:v>
      </x:c>
      <x:c r="B29" t="str">
        <x:v>Product 25</x:v>
      </x:c>
      <x:c r="C29" t="str">
        <x:v>PersonalCare</x:v>
      </x:c>
      <x:c r="D29" t="str">
        <x:v>PrintRight</x:v>
      </x:c>
      <x:c r="E29" t="str">
        <x:v>Unit</x:v>
      </x:c>
      <x:c r="F29" t="n">
        <x:v>11625</x:v>
      </x:c>
      <x:c r="G29" t="n">
        <x:v>14880</x:v>
      </x:c>
      <x:c r="H29" t="n">
        <x:v>15</x:v>
      </x:c>
      <x:c r="I29" t="n">
        <x:v>30</x:v>
      </x:c>
      <x:c r="J29" t="n">
        <x:v>19.25</x:v>
      </x:c>
      <x:c r="K29" t="str">
        <x:v>Active</x:v>
      </x:c>
    </x:row>
    <x:row r="30" ht="18" customHeight="1">
      <x:c r="A30" t="str">
        <x:v>PRD026</x:v>
      </x:c>
      <x:c r="B30" t="str">
        <x:v>Product 26</x:v>
      </x:c>
      <x:c r="C30" t="str">
        <x:v>Food and Beverages</x:v>
      </x:c>
      <x:c r="D30" t="str">
        <x:v>ABC Choice</x:v>
      </x:c>
      <x:c r="E30" t="str">
        <x:v>Unit</x:v>
      </x:c>
      <x:c r="F30" t="n">
        <x:v>12050</x:v>
      </x:c>
      <x:c r="G30" t="n">
        <x:v>15420</x:v>
      </x:c>
      <x:c r="H30" t="n">
        <x:v>20</x:v>
      </x:c>
      <x:c r="I30" t="n">
        <x:v>50</x:v>
      </x:c>
      <x:c r="J30" t="n">
        <x:v>0</x:v>
      </x:c>
      <x:c r="K30" t="str">
        <x:v>Active</x:v>
      </x:c>
    </x:row>
    <x:row r="31" ht="18" customHeight="1">
      <x:c r="A31" t="str">
        <x:v>PRD027</x:v>
      </x:c>
      <x:c r="B31" t="str">
        <x:v>Product 27</x:v>
      </x:c>
      <x:c r="C31" t="str">
        <x:v>Home and Kitchen</x:v>
      </x:c>
      <x:c r="D31" t="str">
        <x:v>HomePro</x:v>
      </x:c>
      <x:c r="E31" t="str">
        <x:v>Pack</x:v>
      </x:c>
      <x:c r="F31" t="n">
        <x:v>12475</x:v>
      </x:c>
      <x:c r="G31" t="n">
        <x:v>15970</x:v>
      </x:c>
      <x:c r="H31" t="n">
        <x:v>25</x:v>
      </x:c>
      <x:c r="I31" t="n">
        <x:v>70</x:v>
      </x:c>
      <x:c r="J31" t="n">
        <x:v>19.25</x:v>
      </x:c>
      <x:c r="K31" t="str">
        <x:v>Active</x:v>
      </x:c>
    </x:row>
    <x:row r="32" ht="18" customHeight="1">
      <x:c r="A32" t="str">
        <x:v>PRD028 </x:v>
      </x:c>
      <x:c r="B32" t="str">
        <x:v>Product 28</x:v>
      </x:c>
      <x:c r="C32" t="str">
        <x:v>Electronics</x:v>
      </x:c>
      <x:c r="D32" t="str">
        <x:v>Voltix</x:v>
      </x:c>
      <x:c r="E32" t="str">
        <x:v>Unit</x:v>
      </x:c>
      <x:c r="F32" t="n">
        <x:v>12900</x:v>
      </x:c>
      <x:c r="G32" t="n">
        <x:v>16510</x:v>
      </x:c>
      <x:c r="H32" t="n">
        <x:v>30</x:v>
      </x:c>
      <x:c r="I32" t="n">
        <x:v>90</x:v>
      </x:c>
      <x:c r="J32" t="n">
        <x:v>19.25</x:v>
      </x:c>
      <x:c r="K32" t="str">
        <x:v>Active</x:v>
      </x:c>
    </x:row>
    <x:row r="33" ht="18" customHeight="1">
      <x:c r="A33" t="str">
        <x:v>PRD029</x:v>
      </x:c>
      <x:c r="B33" t="str">
        <x:v>Product 29</x:v>
      </x:c>
      <x:c r="C33" t="str">
        <x:v>Personal Care</x:v>
      </x:c>
      <x:c r="D33" t="str">
        <x:v>SoftGlow</x:v>
      </x:c>
      <x:c r="E33" t="str">
        <x:v>Unit</x:v>
      </x:c>
      <x:c r="F33" t="n">
        <x:v>13325</x:v>
      </x:c>
      <x:c r="G33" t="n">
        <x:v>17060</x:v>
      </x:c>
      <x:c r="H33" t="n">
        <x:v>35</x:v>
      </x:c>
      <x:c r="I33" t="n">
        <x:v>110</x:v>
      </x:c>
      <x:c r="J33" t="n">
        <x:v>19.25</x:v>
      </x:c>
      <x:c r="K33" t="str">
        <x:v>Active</x:v>
      </x:c>
    </x:row>
    <x:row r="34" ht="18" customHeight="1">
      <x:c r="A34" t="str">
        <x:v>PRD030</x:v>
      </x:c>
      <x:c r="B34" t="str">
        <x:v>Product 30</x:v>
      </x:c>
      <x:c r="C34" t="str">
        <x:v>Office Supplies</x:v>
      </x:c>
      <x:c r="D34" t="str">
        <x:v>PrintRight</x:v>
      </x:c>
      <x:c r="E34" t="str">
        <x:v>Pack</x:v>
      </x:c>
      <x:c r="F34" t="n">
        <x:v>13750</x:v>
      </x:c>
      <x:c r="G34" t="n">
        <x:v>17600</x:v>
      </x:c>
      <x:c r="H34" t="n">
        <x:v>10</x:v>
      </x:c>
      <x:c r="I34" t="n">
        <x:v>30</x:v>
      </x:c>
      <x:c r="J34" t="n">
        <x:v>19.25</x:v>
      </x:c>
      <x:c r="K34" t="str">
        <x:v>Active</x:v>
      </x:c>
    </x:row>
    <x:row r="35" ht="18" customHeight="1">
      <x:c r="A35" t="str">
        <x:v>PRD003</x:v>
      </x:c>
      <x:c r="B35" t="str">
        <x:v>Product 3</x:v>
      </x:c>
      <x:c r="C35" t="str">
        <x:v>Electronics</x:v>
      </x:c>
      <x:c r="D35" t="str">
        <x:v>Voltix</x:v>
      </x:c>
      <x:c r="E35" t="str">
        <x:v>Pack</x:v>
      </x:c>
      <x:c r="F35" t="n">
        <x:v>2275</x:v>
      </x:c>
      <x:c r="G35" t="n">
        <x:v>2910</x:v>
      </x:c>
      <x:c r="H35" t="n">
        <x:v>25</x:v>
      </x:c>
      <x:c r="I35" t="n">
        <x:v>90</x:v>
      </x:c>
      <x:c r="J35" t="n">
        <x:v>19.25</x:v>
      </x:c>
      <x:c r="K35" t="str">
        <x:v>Active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7b2a4fc5ab734e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5" hidden="0" customWidth="1"/>
    <x:col min="3" max="3" width="14" hidden="0" customWidth="1"/>
    <x:col min="4" max="4" width="14" hidden="0" customWidth="1"/>
    <x:col min="5" max="5" width="9.75" hidden="0" customWidth="1"/>
    <x:col min="6" max="6" width="10.5" hidden="0" customWidth="1"/>
    <x:col min="7" max="7" width="9.75" hidden="0" customWidth="1"/>
    <x:col min="8" max="8" width="11" hidden="0" customWidth="1"/>
    <x:col min="9" max="9" width="20" hidden="0" customWidth="1"/>
    <x:col min="10" max="10" width="9.25" hidden="0" customWidth="1"/>
    <x:col min="11" max="11" width="14.880000114440918" hidden="0" customWidth="1"/>
  </x:cols>
  <x:sheetData>
    <x:row r="1" ht="30" customHeight="1">
      <x:c r="A1" s="5" t="str">
        <x:v>Sales — Clean Reference</x:v>
      </x:c>
    </x:row>
    <x:row r="3">
      <x:c r="A3" s="76" t="str">
        <x:v>CLEAN REFERENCE DATASET</x:v>
      </x:c>
    </x:row>
    <x:row r="4">
      <x:c r="A4" s="51" t="str">
        <x:v>Order ID</x:v>
      </x:c>
      <x:c r="B4" s="52" t="str">
        <x:v>Order Date</x:v>
      </x:c>
      <x:c r="C4" s="52" t="str">
        <x:v>Customer ID</x:v>
      </x:c>
      <x:c r="D4" s="52" t="str">
        <x:v>Product ID</x:v>
      </x:c>
      <x:c r="E4" s="52" t="str">
        <x:v>Quantity</x:v>
      </x:c>
      <x:c r="F4" s="52" t="str">
        <x:v>Unit Price</x:v>
      </x:c>
      <x:c r="G4" s="52" t="str">
        <x:v>Discount</x:v>
      </x:c>
      <x:c r="H4" s="52" t="str">
        <x:v>Sales Total</x:v>
      </x:c>
      <x:c r="I4" s="52" t="str">
        <x:v>Branch</x:v>
      </x:c>
      <x:c r="J4" s="52" t="str">
        <x:v>Channel</x:v>
      </x:c>
      <x:c r="K4" s="53" t="str">
        <x:v>Payment Status</x:v>
      </x:c>
    </x:row>
    <x:row r="5" ht="18" customHeight="1">
      <x:c r="A5" t="str">
        <x:v>SO00001</x:v>
      </x:c>
      <x:c r="B5" s="70" t="n">
        <x:v>46024</x:v>
      </x:c>
      <x:c r="C5" t="str">
        <x:v>CUS0001</x:v>
      </x:c>
      <x:c r="D5" t="str">
        <x:v>PRD001</x:v>
      </x:c>
      <x:c r="E5" t="n">
        <x:v>2</x:v>
      </x:c>
      <x:c r="F5" s="72" t="n">
        <x:v>1820</x:v>
      </x:c>
      <x:c r="G5" s="72" t="n">
        <x:v>0</x:v>
      </x:c>
      <x:c r="H5" s="72" t="n">
        <x:v>3640</x:v>
      </x:c>
      <x:c r="I5" t="str">
        <x:v>Douala Central</x:v>
      </x:c>
      <x:c r="J5" t="str">
        <x:v>Online</x:v>
      </x:c>
      <x:c r="K5" t="str">
        <x:v>Paid</x:v>
      </x:c>
    </x:row>
    <x:row r="6" ht="18" customHeight="1">
      <x:c r="A6" t="str">
        <x:v>SO00002</x:v>
      </x:c>
      <x:c r="B6" s="70" t="n">
        <x:v>46025</x:v>
      </x:c>
      <x:c r="C6" t="str">
        <x:v>CUS0002</x:v>
      </x:c>
      <x:c r="D6" t="str">
        <x:v>PRD002</x:v>
      </x:c>
      <x:c r="E6" t="n">
        <x:v>3</x:v>
      </x:c>
      <x:c r="F6" s="72" t="n">
        <x:v>2370</x:v>
      </x:c>
      <x:c r="G6" s="72" t="n">
        <x:v>0</x:v>
      </x:c>
      <x:c r="H6" s="72" t="n">
        <x:v>7110</x:v>
      </x:c>
      <x:c r="I6" t="str">
        <x:v>Yaounde Central</x:v>
      </x:c>
      <x:c r="J6" t="str">
        <x:v>Wholesale</x:v>
      </x:c>
      <x:c r="K6" t="str">
        <x:v>Paid</x:v>
      </x:c>
    </x:row>
    <x:row r="7" ht="18" customHeight="1">
      <x:c r="A7" t="str">
        <x:v>SO00003</x:v>
      </x:c>
      <x:c r="B7" s="70" t="n">
        <x:v>46026</x:v>
      </x:c>
      <x:c r="C7" t="str">
        <x:v>CUS0003</x:v>
      </x:c>
      <x:c r="D7" t="str">
        <x:v>PRD003</x:v>
      </x:c>
      <x:c r="E7" t="n">
        <x:v>4</x:v>
      </x:c>
      <x:c r="F7" s="72" t="n">
        <x:v>2910</x:v>
      </x:c>
      <x:c r="G7" s="72" t="n">
        <x:v>0</x:v>
      </x:c>
      <x:c r="H7" s="72" t="n">
        <x:v>11640</x:v>
      </x:c>
      <x:c r="I7" t="str">
        <x:v>Buea Branch</x:v>
      </x:c>
      <x:c r="J7" t="str">
        <x:v>Corporate</x:v>
      </x:c>
      <x:c r="K7" t="str">
        <x:v>Paid</x:v>
      </x:c>
    </x:row>
    <x:row r="8" ht="18" customHeight="1">
      <x:c r="A8" t="str">
        <x:v>SO00004</x:v>
      </x:c>
      <x:c r="B8" s="70" t="n">
        <x:v>46027</x:v>
      </x:c>
      <x:c r="C8" t="str">
        <x:v>CUS0004</x:v>
      </x:c>
      <x:c r="D8" t="str">
        <x:v>PRD004</x:v>
      </x:c>
      <x:c r="E8" t="n">
        <x:v>5</x:v>
      </x:c>
      <x:c r="F8" s="72" t="n">
        <x:v>3460</x:v>
      </x:c>
      <x:c r="G8" s="72" t="n">
        <x:v>0</x:v>
      </x:c>
      <x:c r="H8" s="72" t="n">
        <x:v>17300</x:v>
      </x:c>
      <x:c r="I8" t="str">
        <x:v>Bafoussam Branch</x:v>
      </x:c>
      <x:c r="J8" t="str">
        <x:v>Store</x:v>
      </x:c>
      <x:c r="K8" t="str">
        <x:v>Paid</x:v>
      </x:c>
    </x:row>
    <x:row r="9" ht="18" customHeight="1">
      <x:c r="A9" t="str">
        <x:v>SO00005</x:v>
      </x:c>
      <x:c r="B9" s="70" t="n">
        <x:v>46028</x:v>
      </x:c>
      <x:c r="C9" t="str">
        <x:v>CUS0005</x:v>
      </x:c>
      <x:c r="D9" t="str">
        <x:v>PRD005</x:v>
      </x:c>
      <x:c r="E9" t="n">
        <x:v>1</x:v>
      </x:c>
      <x:c r="F9" s="72" t="n">
        <x:v>4000</x:v>
      </x:c>
      <x:c r="G9" s="72" t="n">
        <x:v>0</x:v>
      </x:c>
      <x:c r="H9" s="72" t="n">
        <x:v>4000</x:v>
      </x:c>
      <x:c r="I9" t="str">
        <x:v>Douala Central</x:v>
      </x:c>
      <x:c r="J9" t="str">
        <x:v>Online</x:v>
      </x:c>
      <x:c r="K9" t="str">
        <x:v>Paid</x:v>
      </x:c>
    </x:row>
    <x:row r="10" ht="18" customHeight="1">
      <x:c r="A10" t="str">
        <x:v>SO00006</x:v>
      </x:c>
      <x:c r="B10" s="70" t="n">
        <x:v>46029</x:v>
      </x:c>
      <x:c r="C10" t="str">
        <x:v>CUS0006</x:v>
      </x:c>
      <x:c r="D10" t="str">
        <x:v>PRD006</x:v>
      </x:c>
      <x:c r="E10" t="n">
        <x:v>2</x:v>
      </x:c>
      <x:c r="F10" s="72" t="n">
        <x:v>4540</x:v>
      </x:c>
      <x:c r="G10" s="72" t="n">
        <x:v>0</x:v>
      </x:c>
      <x:c r="H10" s="72" t="n">
        <x:v>9080</x:v>
      </x:c>
      <x:c r="I10" t="str">
        <x:v>Yaounde Central</x:v>
      </x:c>
      <x:c r="J10" t="str">
        <x:v>Wholesale</x:v>
      </x:c>
      <x:c r="K10" t="str">
        <x:v>Paid</x:v>
      </x:c>
    </x:row>
    <x:row r="11" ht="18" customHeight="1">
      <x:c r="A11" t="str">
        <x:v>SO00007</x:v>
      </x:c>
      <x:c r="B11" s="70" t="n">
        <x:v>46030</x:v>
      </x:c>
      <x:c r="C11" t="str">
        <x:v>CUS0007</x:v>
      </x:c>
      <x:c r="D11" t="str">
        <x:v>PRD007</x:v>
      </x:c>
      <x:c r="E11" t="n">
        <x:v>3</x:v>
      </x:c>
      <x:c r="F11" s="72" t="n">
        <x:v>5090</x:v>
      </x:c>
      <x:c r="G11" s="72" t="n">
        <x:v>0</x:v>
      </x:c>
      <x:c r="H11" s="72" t="n">
        <x:v>15270</x:v>
      </x:c>
      <x:c r="I11" t="str">
        <x:v>Buea Branch</x:v>
      </x:c>
      <x:c r="J11" t="str">
        <x:v>Corporate</x:v>
      </x:c>
      <x:c r="K11" t="str">
        <x:v>Paid</x:v>
      </x:c>
    </x:row>
    <x:row r="12" ht="18" customHeight="1">
      <x:c r="A12" t="str">
        <x:v>SO00008</x:v>
      </x:c>
      <x:c r="B12" s="70" t="n">
        <x:v>46031</x:v>
      </x:c>
      <x:c r="C12" t="str">
        <x:v>CUS0008</x:v>
      </x:c>
      <x:c r="D12" t="str">
        <x:v>PRD008</x:v>
      </x:c>
      <x:c r="E12" t="n">
        <x:v>4</x:v>
      </x:c>
      <x:c r="F12" s="72" t="n">
        <x:v>5630</x:v>
      </x:c>
      <x:c r="G12" s="72" t="n">
        <x:v>0</x:v>
      </x:c>
      <x:c r="H12" s="72" t="n">
        <x:v>22520</x:v>
      </x:c>
      <x:c r="I12" t="str">
        <x:v>Bafoussam Branch</x:v>
      </x:c>
      <x:c r="J12" t="str">
        <x:v>Store</x:v>
      </x:c>
      <x:c r="K12" t="str">
        <x:v>Paid</x:v>
      </x:c>
    </x:row>
    <x:row r="13" ht="18" customHeight="1">
      <x:c r="A13" t="str">
        <x:v>SO00009</x:v>
      </x:c>
      <x:c r="B13" s="70" t="n">
        <x:v>46032</x:v>
      </x:c>
      <x:c r="C13" t="str">
        <x:v>CUS0009</x:v>
      </x:c>
      <x:c r="D13" t="str">
        <x:v>PRD009</x:v>
      </x:c>
      <x:c r="E13" t="n">
        <x:v>5</x:v>
      </x:c>
      <x:c r="F13" s="72" t="n">
        <x:v>6180</x:v>
      </x:c>
      <x:c r="G13" s="72" t="n">
        <x:v>0</x:v>
      </x:c>
      <x:c r="H13" s="72" t="n">
        <x:v>30900</x:v>
      </x:c>
      <x:c r="I13" t="str">
        <x:v>Douala Central</x:v>
      </x:c>
      <x:c r="J13" t="str">
        <x:v>Online</x:v>
      </x:c>
      <x:c r="K13" t="str">
        <x:v>Paid</x:v>
      </x:c>
    </x:row>
    <x:row r="14" ht="18" customHeight="1">
      <x:c r="A14" t="str">
        <x:v>SO00010</x:v>
      </x:c>
      <x:c r="B14" s="70" t="n">
        <x:v>46033</x:v>
      </x:c>
      <x:c r="C14" t="str">
        <x:v>CUS0010</x:v>
      </x:c>
      <x:c r="D14" t="str">
        <x:v>PRD010</x:v>
      </x:c>
      <x:c r="E14" t="n">
        <x:v>1</x:v>
      </x:c>
      <x:c r="F14" s="72" t="n">
        <x:v>6720</x:v>
      </x:c>
      <x:c r="G14" s="72" t="n">
        <x:v>336</x:v>
      </x:c>
      <x:c r="H14" s="72" t="n">
        <x:v>6384</x:v>
      </x:c>
      <x:c r="I14" t="str">
        <x:v>Yaounde Central</x:v>
      </x:c>
      <x:c r="J14" t="str">
        <x:v>Wholesale</x:v>
      </x:c>
      <x:c r="K14" t="str">
        <x:v>Paid</x:v>
      </x:c>
    </x:row>
    <x:row r="15" ht="18" customHeight="1">
      <x:c r="A15" t="str">
        <x:v>SO00011</x:v>
      </x:c>
      <x:c r="B15" s="70" t="n">
        <x:v>46034</x:v>
      </x:c>
      <x:c r="C15" t="str">
        <x:v>CUS0011</x:v>
      </x:c>
      <x:c r="D15" t="str">
        <x:v>PRD011</x:v>
      </x:c>
      <x:c r="E15" t="n">
        <x:v>2</x:v>
      </x:c>
      <x:c r="F15" s="72" t="n">
        <x:v>7260</x:v>
      </x:c>
      <x:c r="G15" s="72" t="n">
        <x:v>0</x:v>
      </x:c>
      <x:c r="H15" s="72" t="n">
        <x:v>14520</x:v>
      </x:c>
      <x:c r="I15" t="str">
        <x:v>Buea Branch</x:v>
      </x:c>
      <x:c r="J15" t="str">
        <x:v>Corporate</x:v>
      </x:c>
      <x:c r="K15" t="str">
        <x:v>Partial</x:v>
      </x:c>
    </x:row>
    <x:row r="16" ht="18" customHeight="1">
      <x:c r="A16" t="str">
        <x:v>SO00012</x:v>
      </x:c>
      <x:c r="B16" s="70" t="n">
        <x:v>46035</x:v>
      </x:c>
      <x:c r="C16" t="str">
        <x:v>CUS0012</x:v>
      </x:c>
      <x:c r="D16" t="str">
        <x:v>PRD012</x:v>
      </x:c>
      <x:c r="E16" t="n">
        <x:v>3</x:v>
      </x:c>
      <x:c r="F16" s="72" t="n">
        <x:v>7810</x:v>
      </x:c>
      <x:c r="G16" s="72" t="n">
        <x:v>0</x:v>
      </x:c>
      <x:c r="H16" s="72" t="n">
        <x:v>23430</x:v>
      </x:c>
      <x:c r="I16" t="str">
        <x:v>Bafoussam Branch</x:v>
      </x:c>
      <x:c r="J16" t="str">
        <x:v>Store</x:v>
      </x:c>
      <x:c r="K16" t="str">
        <x:v>Paid</x:v>
      </x:c>
    </x:row>
    <x:row r="17" ht="18" customHeight="1">
      <x:c r="A17" t="str">
        <x:v>SO00013</x:v>
      </x:c>
      <x:c r="B17" s="70" t="n">
        <x:v>46036</x:v>
      </x:c>
      <x:c r="C17" t="str">
        <x:v>CUS0013</x:v>
      </x:c>
      <x:c r="D17" t="str">
        <x:v>PRD013</x:v>
      </x:c>
      <x:c r="E17" t="n">
        <x:v>4</x:v>
      </x:c>
      <x:c r="F17" s="72" t="n">
        <x:v>8350</x:v>
      </x:c>
      <x:c r="G17" s="72" t="n">
        <x:v>0</x:v>
      </x:c>
      <x:c r="H17" s="72" t="n">
        <x:v>33400</x:v>
      </x:c>
      <x:c r="I17" t="str">
        <x:v>Douala Central</x:v>
      </x:c>
      <x:c r="J17" t="str">
        <x:v>Online</x:v>
      </x:c>
      <x:c r="K17" t="str">
        <x:v>Paid</x:v>
      </x:c>
    </x:row>
    <x:row r="18" ht="18" customHeight="1">
      <x:c r="A18" t="str">
        <x:v>SO00014</x:v>
      </x:c>
      <x:c r="B18" s="70" t="n">
        <x:v>46037</x:v>
      </x:c>
      <x:c r="C18" t="str">
        <x:v>CUS0014</x:v>
      </x:c>
      <x:c r="D18" t="str">
        <x:v>PRD014</x:v>
      </x:c>
      <x:c r="E18" t="n">
        <x:v>5</x:v>
      </x:c>
      <x:c r="F18" s="72" t="n">
        <x:v>8900</x:v>
      </x:c>
      <x:c r="G18" s="72" t="n">
        <x:v>0</x:v>
      </x:c>
      <x:c r="H18" s="72" t="n">
        <x:v>44500</x:v>
      </x:c>
      <x:c r="I18" t="str">
        <x:v>Yaounde Central</x:v>
      </x:c>
      <x:c r="J18" t="str">
        <x:v>Wholesale</x:v>
      </x:c>
      <x:c r="K18" t="str">
        <x:v>Paid</x:v>
      </x:c>
    </x:row>
    <x:row r="19" ht="18" customHeight="1">
      <x:c r="A19" t="str">
        <x:v>SO00015</x:v>
      </x:c>
      <x:c r="B19" s="70" t="n">
        <x:v>46038</x:v>
      </x:c>
      <x:c r="C19" t="str">
        <x:v>CUS0015</x:v>
      </x:c>
      <x:c r="D19" t="str">
        <x:v>PRD015</x:v>
      </x:c>
      <x:c r="E19" t="n">
        <x:v>1</x:v>
      </x:c>
      <x:c r="F19" s="72" t="n">
        <x:v>9440</x:v>
      </x:c>
      <x:c r="G19" s="72" t="n">
        <x:v>0</x:v>
      </x:c>
      <x:c r="H19" s="72" t="n">
        <x:v>9440</x:v>
      </x:c>
      <x:c r="I19" t="str">
        <x:v>Buea Branch</x:v>
      </x:c>
      <x:c r="J19" t="str">
        <x:v>Corporate</x:v>
      </x:c>
      <x:c r="K19" t="str">
        <x:v>Paid</x:v>
      </x:c>
    </x:row>
    <x:row r="20" ht="18" customHeight="1">
      <x:c r="A20" t="str">
        <x:v>SO00016</x:v>
      </x:c>
      <x:c r="B20" s="70" t="n">
        <x:v>46039</x:v>
      </x:c>
      <x:c r="C20" t="str">
        <x:v>CUS0016</x:v>
      </x:c>
      <x:c r="D20" t="str">
        <x:v>PRD016</x:v>
      </x:c>
      <x:c r="E20" t="n">
        <x:v>2</x:v>
      </x:c>
      <x:c r="F20" s="72" t="n">
        <x:v>9980</x:v>
      </x:c>
      <x:c r="G20" s="72" t="n">
        <x:v>0</x:v>
      </x:c>
      <x:c r="H20" s="72" t="n">
        <x:v>19960</x:v>
      </x:c>
      <x:c r="I20" t="str">
        <x:v>Bafoussam Branch</x:v>
      </x:c>
      <x:c r="J20" t="str">
        <x:v>Store</x:v>
      </x:c>
      <x:c r="K20" t="str">
        <x:v>Paid</x:v>
      </x:c>
    </x:row>
    <x:row r="21" ht="18" customHeight="1">
      <x:c r="A21" t="str">
        <x:v>SO00017</x:v>
      </x:c>
      <x:c r="B21" s="70" t="n">
        <x:v>46040</x:v>
      </x:c>
      <x:c r="C21" t="str">
        <x:v>CUS0017</x:v>
      </x:c>
      <x:c r="D21" t="str">
        <x:v>PRD017</x:v>
      </x:c>
      <x:c r="E21" t="n">
        <x:v>3</x:v>
      </x:c>
      <x:c r="F21" s="72" t="n">
        <x:v>10530</x:v>
      </x:c>
      <x:c r="G21" s="72" t="n">
        <x:v>0</x:v>
      </x:c>
      <x:c r="H21" s="72" t="n">
        <x:v>31590</x:v>
      </x:c>
      <x:c r="I21" t="str">
        <x:v>Douala Central</x:v>
      </x:c>
      <x:c r="J21" t="str">
        <x:v>Online</x:v>
      </x:c>
      <x:c r="K21" t="str">
        <x:v>Paid</x:v>
      </x:c>
    </x:row>
    <x:row r="22" ht="18" customHeight="1">
      <x:c r="A22" t="str">
        <x:v>SO00018</x:v>
      </x:c>
      <x:c r="B22" s="70" t="n">
        <x:v>46041</x:v>
      </x:c>
      <x:c r="C22" t="str">
        <x:v>CUS0018</x:v>
      </x:c>
      <x:c r="D22" t="str">
        <x:v>PRD018</x:v>
      </x:c>
      <x:c r="E22" t="n">
        <x:v>4</x:v>
      </x:c>
      <x:c r="F22" s="72" t="n">
        <x:v>11070</x:v>
      </x:c>
      <x:c r="G22" s="72" t="n">
        <x:v>0</x:v>
      </x:c>
      <x:c r="H22" s="72" t="n">
        <x:v>44280</x:v>
      </x:c>
      <x:c r="I22" t="str">
        <x:v>Yaounde Central</x:v>
      </x:c>
      <x:c r="J22" t="str">
        <x:v>Wholesale</x:v>
      </x:c>
      <x:c r="K22" t="str">
        <x:v>Paid</x:v>
      </x:c>
    </x:row>
    <x:row r="23" ht="18" customHeight="1">
      <x:c r="A23" t="str">
        <x:v>SO00019</x:v>
      </x:c>
      <x:c r="B23" s="70" t="n">
        <x:v>46042</x:v>
      </x:c>
      <x:c r="C23" t="str">
        <x:v>CUS0019</x:v>
      </x:c>
      <x:c r="D23" t="str">
        <x:v>PRD019</x:v>
      </x:c>
      <x:c r="E23" t="n">
        <x:v>5</x:v>
      </x:c>
      <x:c r="F23" s="72" t="n">
        <x:v>11620</x:v>
      </x:c>
      <x:c r="G23" s="72" t="n">
        <x:v>0</x:v>
      </x:c>
      <x:c r="H23" s="72" t="n">
        <x:v>58100</x:v>
      </x:c>
      <x:c r="I23" t="str">
        <x:v>Buea Branch</x:v>
      </x:c>
      <x:c r="J23" t="str">
        <x:v>Corporate</x:v>
      </x:c>
      <x:c r="K23" t="str">
        <x:v>Paid</x:v>
      </x:c>
    </x:row>
    <x:row r="24" ht="18" customHeight="1">
      <x:c r="A24" t="str">
        <x:v>SO00020</x:v>
      </x:c>
      <x:c r="B24" s="70" t="n">
        <x:v>46043</x:v>
      </x:c>
      <x:c r="C24" t="str">
        <x:v>CUS0020</x:v>
      </x:c>
      <x:c r="D24" t="str">
        <x:v>PRD020</x:v>
      </x:c>
      <x:c r="E24" t="n">
        <x:v>1</x:v>
      </x:c>
      <x:c r="F24" s="72" t="n">
        <x:v>12160</x:v>
      </x:c>
      <x:c r="G24" s="72" t="n">
        <x:v>608</x:v>
      </x:c>
      <x:c r="H24" s="72" t="n">
        <x:v>11552</x:v>
      </x:c>
      <x:c r="I24" t="str">
        <x:v>Bafoussam Branch</x:v>
      </x:c>
      <x:c r="J24" t="str">
        <x:v>Store</x:v>
      </x:c>
      <x:c r="K24" t="str">
        <x:v>Paid</x:v>
      </x:c>
    </x:row>
    <x:row r="25" ht="18" customHeight="1">
      <x:c r="A25" t="str">
        <x:v>SO00021</x:v>
      </x:c>
      <x:c r="B25" s="70" t="n">
        <x:v>46044</x:v>
      </x:c>
      <x:c r="C25" t="str">
        <x:v>CUS0021</x:v>
      </x:c>
      <x:c r="D25" t="str">
        <x:v>PRD021</x:v>
      </x:c>
      <x:c r="E25" t="n">
        <x:v>2</x:v>
      </x:c>
      <x:c r="F25" s="72" t="n">
        <x:v>12700</x:v>
      </x:c>
      <x:c r="G25" s="72" t="n">
        <x:v>0</x:v>
      </x:c>
      <x:c r="H25" s="72" t="n">
        <x:v>25400</x:v>
      </x:c>
      <x:c r="I25" t="str">
        <x:v>Douala Central</x:v>
      </x:c>
      <x:c r="J25" t="str">
        <x:v>Online</x:v>
      </x:c>
      <x:c r="K25" t="str">
        <x:v>Paid</x:v>
      </x:c>
    </x:row>
    <x:row r="26" ht="18" customHeight="1">
      <x:c r="A26" t="str">
        <x:v>SO00022</x:v>
      </x:c>
      <x:c r="B26" s="70" t="n">
        <x:v>46045</x:v>
      </x:c>
      <x:c r="C26" t="str">
        <x:v>CUS0022</x:v>
      </x:c>
      <x:c r="D26" t="str">
        <x:v>PRD022</x:v>
      </x:c>
      <x:c r="E26" t="n">
        <x:v>3</x:v>
      </x:c>
      <x:c r="F26" s="72" t="n">
        <x:v>13250</x:v>
      </x:c>
      <x:c r="G26" s="72" t="n">
        <x:v>0</x:v>
      </x:c>
      <x:c r="H26" s="72" t="n">
        <x:v>39750</x:v>
      </x:c>
      <x:c r="I26" t="str">
        <x:v>Yaounde Central</x:v>
      </x:c>
      <x:c r="J26" t="str">
        <x:v>Wholesale</x:v>
      </x:c>
      <x:c r="K26" t="str">
        <x:v>Partial</x:v>
      </x:c>
    </x:row>
    <x:row r="27" ht="18" customHeight="1">
      <x:c r="A27" t="str">
        <x:v>SO00023</x:v>
      </x:c>
      <x:c r="B27" s="70" t="n">
        <x:v>46046</x:v>
      </x:c>
      <x:c r="C27" t="str">
        <x:v>CUS0023</x:v>
      </x:c>
      <x:c r="D27" t="str">
        <x:v>PRD023</x:v>
      </x:c>
      <x:c r="E27" t="n">
        <x:v>4</x:v>
      </x:c>
      <x:c r="F27" s="72" t="n">
        <x:v>13790</x:v>
      </x:c>
      <x:c r="G27" s="72" t="n">
        <x:v>0</x:v>
      </x:c>
      <x:c r="H27" s="72" t="n">
        <x:v>55160</x:v>
      </x:c>
      <x:c r="I27" t="str">
        <x:v>Buea Branch</x:v>
      </x:c>
      <x:c r="J27" t="str">
        <x:v>Corporate</x:v>
      </x:c>
      <x:c r="K27" t="str">
        <x:v>Paid</x:v>
      </x:c>
    </x:row>
    <x:row r="28" ht="18" customHeight="1">
      <x:c r="A28" t="str">
        <x:v>SO00024</x:v>
      </x:c>
      <x:c r="B28" s="70" t="n">
        <x:v>46047</x:v>
      </x:c>
      <x:c r="C28" t="str">
        <x:v>CUS0024</x:v>
      </x:c>
      <x:c r="D28" t="str">
        <x:v>PRD024</x:v>
      </x:c>
      <x:c r="E28" t="n">
        <x:v>5</x:v>
      </x:c>
      <x:c r="F28" s="72" t="n">
        <x:v>14340</x:v>
      </x:c>
      <x:c r="G28" s="72" t="n">
        <x:v>0</x:v>
      </x:c>
      <x:c r="H28" s="72" t="n">
        <x:v>71700</x:v>
      </x:c>
      <x:c r="I28" t="str">
        <x:v>Bafoussam Branch</x:v>
      </x:c>
      <x:c r="J28" t="str">
        <x:v>Store</x:v>
      </x:c>
      <x:c r="K28" t="str">
        <x:v>Paid</x:v>
      </x:c>
    </x:row>
    <x:row r="29" ht="18" customHeight="1">
      <x:c r="A29" t="str">
        <x:v>SO00025</x:v>
      </x:c>
      <x:c r="B29" s="70" t="n">
        <x:v>46048</x:v>
      </x:c>
      <x:c r="C29" t="str">
        <x:v>CUS0025</x:v>
      </x:c>
      <x:c r="D29" t="str">
        <x:v>PRD025</x:v>
      </x:c>
      <x:c r="E29" t="n">
        <x:v>1</x:v>
      </x:c>
      <x:c r="F29" s="72" t="n">
        <x:v>14880</x:v>
      </x:c>
      <x:c r="G29" s="72" t="n">
        <x:v>0</x:v>
      </x:c>
      <x:c r="H29" s="72" t="n">
        <x:v>14880</x:v>
      </x:c>
      <x:c r="I29" t="str">
        <x:v>Douala Central</x:v>
      </x:c>
      <x:c r="J29" t="str">
        <x:v>Online</x:v>
      </x:c>
      <x:c r="K29" t="str">
        <x:v>Paid</x:v>
      </x:c>
    </x:row>
    <x:row r="30" ht="18" customHeight="1">
      <x:c r="A30" t="str">
        <x:v>SO00026</x:v>
      </x:c>
      <x:c r="B30" s="70" t="n">
        <x:v>46049</x:v>
      </x:c>
      <x:c r="C30" t="str">
        <x:v>CUS0026</x:v>
      </x:c>
      <x:c r="D30" t="str">
        <x:v>PRD026</x:v>
      </x:c>
      <x:c r="E30" t="n">
        <x:v>2</x:v>
      </x:c>
      <x:c r="F30" s="72" t="n">
        <x:v>15420</x:v>
      </x:c>
      <x:c r="G30" s="72" t="n">
        <x:v>0</x:v>
      </x:c>
      <x:c r="H30" s="72" t="n">
        <x:v>30840</x:v>
      </x:c>
      <x:c r="I30" t="str">
        <x:v>Yaounde Central</x:v>
      </x:c>
      <x:c r="J30" t="str">
        <x:v>Wholesale</x:v>
      </x:c>
      <x:c r="K30" t="str">
        <x:v>Paid</x:v>
      </x:c>
    </x:row>
    <x:row r="31" ht="18" customHeight="1">
      <x:c r="A31" t="str">
        <x:v>SO00027</x:v>
      </x:c>
      <x:c r="B31" s="70" t="n">
        <x:v>46050</x:v>
      </x:c>
      <x:c r="C31" t="str">
        <x:v>CUS0027</x:v>
      </x:c>
      <x:c r="D31" t="str">
        <x:v>PRD027</x:v>
      </x:c>
      <x:c r="E31" t="n">
        <x:v>3</x:v>
      </x:c>
      <x:c r="F31" s="72" t="n">
        <x:v>15970</x:v>
      </x:c>
      <x:c r="G31" s="72" t="n">
        <x:v>0</x:v>
      </x:c>
      <x:c r="H31" s="72" t="n">
        <x:v>47910</x:v>
      </x:c>
      <x:c r="I31" t="str">
        <x:v>Buea Branch</x:v>
      </x:c>
      <x:c r="J31" t="str">
        <x:v>Corporate</x:v>
      </x:c>
      <x:c r="K31" t="str">
        <x:v>Paid</x:v>
      </x:c>
    </x:row>
    <x:row r="32" ht="18" customHeight="1">
      <x:c r="A32" t="str">
        <x:v>SO00028</x:v>
      </x:c>
      <x:c r="B32" s="70" t="n">
        <x:v>46051</x:v>
      </x:c>
      <x:c r="C32" t="str">
        <x:v>CUS0028</x:v>
      </x:c>
      <x:c r="D32" t="str">
        <x:v>PRD028</x:v>
      </x:c>
      <x:c r="E32" t="n">
        <x:v>4</x:v>
      </x:c>
      <x:c r="F32" s="72" t="n">
        <x:v>16510</x:v>
      </x:c>
      <x:c r="G32" s="72" t="n">
        <x:v>0</x:v>
      </x:c>
      <x:c r="H32" s="72" t="n">
        <x:v>66040</x:v>
      </x:c>
      <x:c r="I32" t="str">
        <x:v>Bafoussam Branch</x:v>
      </x:c>
      <x:c r="J32" t="str">
        <x:v>Store</x:v>
      </x:c>
      <x:c r="K32" t="str">
        <x:v>Paid</x:v>
      </x:c>
    </x:row>
    <x:row r="33" ht="18" customHeight="1">
      <x:c r="A33" t="str">
        <x:v>SO00029</x:v>
      </x:c>
      <x:c r="B33" s="70" t="n">
        <x:v>46052</x:v>
      </x:c>
      <x:c r="C33" t="str">
        <x:v>CUS0029</x:v>
      </x:c>
      <x:c r="D33" t="str">
        <x:v>PRD029</x:v>
      </x:c>
      <x:c r="E33" t="n">
        <x:v>5</x:v>
      </x:c>
      <x:c r="F33" s="72" t="n">
        <x:v>17060</x:v>
      </x:c>
      <x:c r="G33" s="72" t="n">
        <x:v>0</x:v>
      </x:c>
      <x:c r="H33" s="72" t="n">
        <x:v>85300</x:v>
      </x:c>
      <x:c r="I33" t="str">
        <x:v>Douala Central</x:v>
      </x:c>
      <x:c r="J33" t="str">
        <x:v>Online</x:v>
      </x:c>
      <x:c r="K33" t="str">
        <x:v>Paid</x:v>
      </x:c>
    </x:row>
    <x:row r="34" ht="18" customHeight="1">
      <x:c r="A34" t="str">
        <x:v>SO00030</x:v>
      </x:c>
      <x:c r="B34" s="70" t="n">
        <x:v>46053</x:v>
      </x:c>
      <x:c r="C34" t="str">
        <x:v>CUS0030</x:v>
      </x:c>
      <x:c r="D34" t="str">
        <x:v>PRD030</x:v>
      </x:c>
      <x:c r="E34" t="n">
        <x:v>1</x:v>
      </x:c>
      <x:c r="F34" s="72" t="n">
        <x:v>17600</x:v>
      </x:c>
      <x:c r="G34" s="72" t="n">
        <x:v>880</x:v>
      </x:c>
      <x:c r="H34" s="72" t="n">
        <x:v>16720</x:v>
      </x:c>
      <x:c r="I34" t="str">
        <x:v>Yaounde Central</x:v>
      </x:c>
      <x:c r="J34" t="str">
        <x:v>Wholesale</x:v>
      </x:c>
      <x:c r="K34" t="str">
        <x:v>Paid</x:v>
      </x:c>
    </x:row>
    <x:row r="35" ht="18" customHeight="1">
      <x:c r="A35" t="str">
        <x:v>SO00031</x:v>
      </x:c>
      <x:c r="B35" s="70" t="n">
        <x:v>46054</x:v>
      </x:c>
      <x:c r="C35" t="str">
        <x:v>CUS0031</x:v>
      </x:c>
      <x:c r="D35" t="str">
        <x:v>PRD001</x:v>
      </x:c>
      <x:c r="E35" t="n">
        <x:v>2</x:v>
      </x:c>
      <x:c r="F35" s="72" t="n">
        <x:v>1820</x:v>
      </x:c>
      <x:c r="G35" s="72" t="n">
        <x:v>0</x:v>
      </x:c>
      <x:c r="H35" s="72" t="n">
        <x:v>3640</x:v>
      </x:c>
      <x:c r="I35" t="str">
        <x:v>Buea Branch</x:v>
      </x:c>
      <x:c r="J35" t="str">
        <x:v>Corporate</x:v>
      </x:c>
      <x:c r="K35" t="str">
        <x:v>Paid</x:v>
      </x:c>
    </x:row>
    <x:row r="36" ht="18" customHeight="1">
      <x:c r="A36" t="str">
        <x:v>SO00032</x:v>
      </x:c>
      <x:c r="B36" s="70" t="n">
        <x:v>46055</x:v>
      </x:c>
      <x:c r="C36" t="str">
        <x:v>CUS0032</x:v>
      </x:c>
      <x:c r="D36" t="str">
        <x:v>PRD002</x:v>
      </x:c>
      <x:c r="E36" t="n">
        <x:v>3</x:v>
      </x:c>
      <x:c r="F36" s="72" t="n">
        <x:v>2370</x:v>
      </x:c>
      <x:c r="G36" s="72" t="n">
        <x:v>0</x:v>
      </x:c>
      <x:c r="H36" s="72" t="n">
        <x:v>7110</x:v>
      </x:c>
      <x:c r="I36" t="str">
        <x:v>Bafoussam Branch</x:v>
      </x:c>
      <x:c r="J36" t="str">
        <x:v>Store</x:v>
      </x:c>
      <x:c r="K36" t="str">
        <x:v>Paid</x:v>
      </x:c>
    </x:row>
    <x:row r="37" ht="18" customHeight="1">
      <x:c r="A37" t="str">
        <x:v>SO00033</x:v>
      </x:c>
      <x:c r="B37" s="70" t="n">
        <x:v>46056</x:v>
      </x:c>
      <x:c r="C37" t="str">
        <x:v>CUS0033</x:v>
      </x:c>
      <x:c r="D37" t="str">
        <x:v>PRD003</x:v>
      </x:c>
      <x:c r="E37" t="n">
        <x:v>4</x:v>
      </x:c>
      <x:c r="F37" s="72" t="n">
        <x:v>2910</x:v>
      </x:c>
      <x:c r="G37" s="72" t="n">
        <x:v>0</x:v>
      </x:c>
      <x:c r="H37" s="72" t="n">
        <x:v>11640</x:v>
      </x:c>
      <x:c r="I37" t="str">
        <x:v>Douala Central</x:v>
      </x:c>
      <x:c r="J37" t="str">
        <x:v>Online</x:v>
      </x:c>
      <x:c r="K37" t="str">
        <x:v>Partial</x:v>
      </x:c>
    </x:row>
    <x:row r="38" ht="18" customHeight="1">
      <x:c r="A38" t="str">
        <x:v>SO00034</x:v>
      </x:c>
      <x:c r="B38" s="70" t="n">
        <x:v>46057</x:v>
      </x:c>
      <x:c r="C38" t="str">
        <x:v>CUS0034</x:v>
      </x:c>
      <x:c r="D38" t="str">
        <x:v>PRD004</x:v>
      </x:c>
      <x:c r="E38" t="n">
        <x:v>5</x:v>
      </x:c>
      <x:c r="F38" s="72" t="n">
        <x:v>3460</x:v>
      </x:c>
      <x:c r="G38" s="72" t="n">
        <x:v>0</x:v>
      </x:c>
      <x:c r="H38" s="72" t="n">
        <x:v>17300</x:v>
      </x:c>
      <x:c r="I38" t="str">
        <x:v>Yaounde Central</x:v>
      </x:c>
      <x:c r="J38" t="str">
        <x:v>Wholesale</x:v>
      </x:c>
      <x:c r="K38" t="str">
        <x:v>Paid</x:v>
      </x:c>
    </x:row>
    <x:row r="39" ht="18" customHeight="1">
      <x:c r="A39" t="str">
        <x:v>SO00035</x:v>
      </x:c>
      <x:c r="B39" s="70" t="n">
        <x:v>46058</x:v>
      </x:c>
      <x:c r="C39" t="str">
        <x:v>CUS0035</x:v>
      </x:c>
      <x:c r="D39" t="str">
        <x:v>PRD005</x:v>
      </x:c>
      <x:c r="E39" t="n">
        <x:v>1</x:v>
      </x:c>
      <x:c r="F39" s="72" t="n">
        <x:v>4000</x:v>
      </x:c>
      <x:c r="G39" s="72" t="n">
        <x:v>0</x:v>
      </x:c>
      <x:c r="H39" s="72" t="n">
        <x:v>4000</x:v>
      </x:c>
      <x:c r="I39" t="str">
        <x:v>Buea Branch</x:v>
      </x:c>
      <x:c r="J39" t="str">
        <x:v>Corporate</x:v>
      </x:c>
      <x:c r="K39" t="str">
        <x:v>Paid</x:v>
      </x:c>
    </x:row>
    <x:row r="40" ht="18" customHeight="1">
      <x:c r="A40" t="str">
        <x:v>SO00036</x:v>
      </x:c>
      <x:c r="B40" s="70" t="n">
        <x:v>46059</x:v>
      </x:c>
      <x:c r="C40" t="str">
        <x:v>CUS0036</x:v>
      </x:c>
      <x:c r="D40" t="str">
        <x:v>PRD006</x:v>
      </x:c>
      <x:c r="E40" t="n">
        <x:v>2</x:v>
      </x:c>
      <x:c r="F40" s="72" t="n">
        <x:v>4540</x:v>
      </x:c>
      <x:c r="G40" s="72" t="n">
        <x:v>0</x:v>
      </x:c>
      <x:c r="H40" s="72" t="n">
        <x:v>9080</x:v>
      </x:c>
      <x:c r="I40" t="str">
        <x:v>Bafoussam Branch</x:v>
      </x:c>
      <x:c r="J40" t="str">
        <x:v>Store</x:v>
      </x:c>
      <x:c r="K40" t="str">
        <x:v>Paid</x:v>
      </x:c>
    </x:row>
    <x:row r="41" ht="18" customHeight="1">
      <x:c r="A41" t="str">
        <x:v>SO00037</x:v>
      </x:c>
      <x:c r="B41" s="70" t="n">
        <x:v>46060</x:v>
      </x:c>
      <x:c r="C41" t="str">
        <x:v>CUS0037</x:v>
      </x:c>
      <x:c r="D41" t="str">
        <x:v>PRD007</x:v>
      </x:c>
      <x:c r="E41" t="n">
        <x:v>3</x:v>
      </x:c>
      <x:c r="F41" s="72" t="n">
        <x:v>5090</x:v>
      </x:c>
      <x:c r="G41" s="72" t="n">
        <x:v>0</x:v>
      </x:c>
      <x:c r="H41" s="72" t="n">
        <x:v>15270</x:v>
      </x:c>
      <x:c r="I41" t="str">
        <x:v>Douala Central</x:v>
      </x:c>
      <x:c r="J41" t="str">
        <x:v>Online</x:v>
      </x:c>
      <x:c r="K41" t="str">
        <x:v>Paid</x:v>
      </x:c>
    </x:row>
    <x:row r="42" ht="18" customHeight="1">
      <x:c r="A42" t="str">
        <x:v>SO00038</x:v>
      </x:c>
      <x:c r="B42" s="70" t="n">
        <x:v>46061</x:v>
      </x:c>
      <x:c r="C42" t="str">
        <x:v>CUS0038</x:v>
      </x:c>
      <x:c r="D42" t="str">
        <x:v>PRD008</x:v>
      </x:c>
      <x:c r="E42" t="n">
        <x:v>4</x:v>
      </x:c>
      <x:c r="F42" s="72" t="n">
        <x:v>5630</x:v>
      </x:c>
      <x:c r="G42" s="72" t="n">
        <x:v>0</x:v>
      </x:c>
      <x:c r="H42" s="72" t="n">
        <x:v>22520</x:v>
      </x:c>
      <x:c r="I42" t="str">
        <x:v>Yaounde Central</x:v>
      </x:c>
      <x:c r="J42" t="str">
        <x:v>Wholesale</x:v>
      </x:c>
      <x:c r="K42" t="str">
        <x:v>Paid</x:v>
      </x:c>
    </x:row>
    <x:row r="43" ht="18" customHeight="1">
      <x:c r="A43" t="str">
        <x:v>SO00039</x:v>
      </x:c>
      <x:c r="B43" s="70" t="n">
        <x:v>46062</x:v>
      </x:c>
      <x:c r="C43" t="str">
        <x:v>CUS0039</x:v>
      </x:c>
      <x:c r="D43" t="str">
        <x:v>PRD009</x:v>
      </x:c>
      <x:c r="E43" t="n">
        <x:v>5</x:v>
      </x:c>
      <x:c r="F43" s="72" t="n">
        <x:v>6180</x:v>
      </x:c>
      <x:c r="G43" s="72" t="n">
        <x:v>0</x:v>
      </x:c>
      <x:c r="H43" s="72" t="n">
        <x:v>30900</x:v>
      </x:c>
      <x:c r="I43" t="str">
        <x:v>Buea Branch</x:v>
      </x:c>
      <x:c r="J43" t="str">
        <x:v>Corporate</x:v>
      </x:c>
      <x:c r="K43" t="str">
        <x:v>Paid</x:v>
      </x:c>
    </x:row>
    <x:row r="44" ht="18" customHeight="1">
      <x:c r="A44" t="str">
        <x:v>SO00040</x:v>
      </x:c>
      <x:c r="B44" s="70" t="n">
        <x:v>46063</x:v>
      </x:c>
      <x:c r="C44" t="str">
        <x:v>CUS0040</x:v>
      </x:c>
      <x:c r="D44" t="str">
        <x:v>PRD010</x:v>
      </x:c>
      <x:c r="E44" t="n">
        <x:v>1</x:v>
      </x:c>
      <x:c r="F44" s="72" t="n">
        <x:v>6720</x:v>
      </x:c>
      <x:c r="G44" s="72" t="n">
        <x:v>336</x:v>
      </x:c>
      <x:c r="H44" s="72" t="n">
        <x:v>6384</x:v>
      </x:c>
      <x:c r="I44" t="str">
        <x:v>Bafoussam Branch</x:v>
      </x:c>
      <x:c r="J44" t="str">
        <x:v>Store</x:v>
      </x:c>
      <x:c r="K44" t="str">
        <x:v>Paid</x:v>
      </x:c>
    </x:row>
    <x:row r="45" ht="18" customHeight="1">
      <x:c r="A45" t="str">
        <x:v>SO00041</x:v>
      </x:c>
      <x:c r="B45" s="70" t="n">
        <x:v>46064</x:v>
      </x:c>
      <x:c r="C45" t="str">
        <x:v>CUS0041</x:v>
      </x:c>
      <x:c r="D45" t="str">
        <x:v>PRD011</x:v>
      </x:c>
      <x:c r="E45" t="n">
        <x:v>2</x:v>
      </x:c>
      <x:c r="F45" s="72" t="n">
        <x:v>7260</x:v>
      </x:c>
      <x:c r="G45" s="72" t="n">
        <x:v>0</x:v>
      </x:c>
      <x:c r="H45" s="72" t="n">
        <x:v>14520</x:v>
      </x:c>
      <x:c r="I45" t="str">
        <x:v>Douala Central</x:v>
      </x:c>
      <x:c r="J45" t="str">
        <x:v>Online</x:v>
      </x:c>
      <x:c r="K45" t="str">
        <x:v>Paid</x:v>
      </x:c>
    </x:row>
    <x:row r="46" ht="18" customHeight="1">
      <x:c r="A46" t="str">
        <x:v>SO00042</x:v>
      </x:c>
      <x:c r="B46" s="70" t="n">
        <x:v>46065</x:v>
      </x:c>
      <x:c r="C46" t="str">
        <x:v>CUS0042</x:v>
      </x:c>
      <x:c r="D46" t="str">
        <x:v>PRD012</x:v>
      </x:c>
      <x:c r="E46" t="n">
        <x:v>3</x:v>
      </x:c>
      <x:c r="F46" s="72" t="n">
        <x:v>7810</x:v>
      </x:c>
      <x:c r="G46" s="72" t="n">
        <x:v>0</x:v>
      </x:c>
      <x:c r="H46" s="72" t="n">
        <x:v>23430</x:v>
      </x:c>
      <x:c r="I46" t="str">
        <x:v>Yaounde Central</x:v>
      </x:c>
      <x:c r="J46" t="str">
        <x:v>Wholesale</x:v>
      </x:c>
      <x:c r="K46" t="str">
        <x:v>Paid</x:v>
      </x:c>
    </x:row>
    <x:row r="47" ht="18" customHeight="1">
      <x:c r="A47" t="str">
        <x:v>SO00043</x:v>
      </x:c>
      <x:c r="B47" s="70" t="n">
        <x:v>46066</x:v>
      </x:c>
      <x:c r="C47" t="str">
        <x:v>CUS0043</x:v>
      </x:c>
      <x:c r="D47" t="str">
        <x:v>PRD013</x:v>
      </x:c>
      <x:c r="E47" t="n">
        <x:v>4</x:v>
      </x:c>
      <x:c r="F47" s="72" t="n">
        <x:v>8350</x:v>
      </x:c>
      <x:c r="G47" s="72" t="n">
        <x:v>0</x:v>
      </x:c>
      <x:c r="H47" s="72" t="n">
        <x:v>33400</x:v>
      </x:c>
      <x:c r="I47" t="str">
        <x:v>Buea Branch</x:v>
      </x:c>
      <x:c r="J47" t="str">
        <x:v>Corporate</x:v>
      </x:c>
      <x:c r="K47" t="str">
        <x:v>Paid</x:v>
      </x:c>
    </x:row>
    <x:row r="48" ht="18" customHeight="1">
      <x:c r="A48" t="str">
        <x:v>SO00044</x:v>
      </x:c>
      <x:c r="B48" s="70" t="n">
        <x:v>46067</x:v>
      </x:c>
      <x:c r="C48" t="str">
        <x:v>CUS0044</x:v>
      </x:c>
      <x:c r="D48" t="str">
        <x:v>PRD014</x:v>
      </x:c>
      <x:c r="E48" t="n">
        <x:v>5</x:v>
      </x:c>
      <x:c r="F48" s="72" t="n">
        <x:v>8900</x:v>
      </x:c>
      <x:c r="G48" s="72" t="n">
        <x:v>0</x:v>
      </x:c>
      <x:c r="H48" s="72" t="n">
        <x:v>44500</x:v>
      </x:c>
      <x:c r="I48" t="str">
        <x:v>Bafoussam Branch</x:v>
      </x:c>
      <x:c r="J48" t="str">
        <x:v>Store</x:v>
      </x:c>
      <x:c r="K48" t="str">
        <x:v>Partial</x:v>
      </x:c>
    </x:row>
    <x:row r="49" ht="18" customHeight="1">
      <x:c r="A49" t="str">
        <x:v>SO00045</x:v>
      </x:c>
      <x:c r="B49" s="70" t="n">
        <x:v>46068</x:v>
      </x:c>
      <x:c r="C49" t="str">
        <x:v>CUS0045</x:v>
      </x:c>
      <x:c r="D49" t="str">
        <x:v>PRD015</x:v>
      </x:c>
      <x:c r="E49" t="n">
        <x:v>1</x:v>
      </x:c>
      <x:c r="F49" s="72" t="n">
        <x:v>9440</x:v>
      </x:c>
      <x:c r="G49" s="72" t="n">
        <x:v>0</x:v>
      </x:c>
      <x:c r="H49" s="72" t="n">
        <x:v>9440</x:v>
      </x:c>
      <x:c r="I49" t="str">
        <x:v>Douala Central</x:v>
      </x:c>
      <x:c r="J49" t="str">
        <x:v>Online</x:v>
      </x:c>
      <x:c r="K49" t="str">
        <x:v>Paid</x:v>
      </x:c>
    </x:row>
    <x:row r="50" ht="18" customHeight="1">
      <x:c r="A50" t="str">
        <x:v>SO00046</x:v>
      </x:c>
      <x:c r="B50" s="70" t="n">
        <x:v>46069</x:v>
      </x:c>
      <x:c r="C50" t="str">
        <x:v>CUS0046</x:v>
      </x:c>
      <x:c r="D50" t="str">
        <x:v>PRD016</x:v>
      </x:c>
      <x:c r="E50" t="n">
        <x:v>2</x:v>
      </x:c>
      <x:c r="F50" s="72" t="n">
        <x:v>9980</x:v>
      </x:c>
      <x:c r="G50" s="72" t="n">
        <x:v>0</x:v>
      </x:c>
      <x:c r="H50" s="72" t="n">
        <x:v>19960</x:v>
      </x:c>
      <x:c r="I50" t="str">
        <x:v>Yaounde Central</x:v>
      </x:c>
      <x:c r="J50" t="str">
        <x:v>Wholesale</x:v>
      </x:c>
      <x:c r="K50" t="str">
        <x:v>Paid</x:v>
      </x:c>
    </x:row>
    <x:row r="51" ht="18" customHeight="1">
      <x:c r="A51" t="str">
        <x:v>SO00047</x:v>
      </x:c>
      <x:c r="B51" s="70" t="n">
        <x:v>46070</x:v>
      </x:c>
      <x:c r="C51" t="str">
        <x:v>CUS0047</x:v>
      </x:c>
      <x:c r="D51" t="str">
        <x:v>PRD017</x:v>
      </x:c>
      <x:c r="E51" t="n">
        <x:v>3</x:v>
      </x:c>
      <x:c r="F51" s="72" t="n">
        <x:v>10530</x:v>
      </x:c>
      <x:c r="G51" s="72" t="n">
        <x:v>0</x:v>
      </x:c>
      <x:c r="H51" s="72" t="n">
        <x:v>31590</x:v>
      </x:c>
      <x:c r="I51" t="str">
        <x:v>Buea Branch</x:v>
      </x:c>
      <x:c r="J51" t="str">
        <x:v>Corporate</x:v>
      </x:c>
      <x:c r="K51" t="str">
        <x:v>Paid</x:v>
      </x:c>
    </x:row>
    <x:row r="52" ht="18" customHeight="1">
      <x:c r="A52" t="str">
        <x:v>SO00048</x:v>
      </x:c>
      <x:c r="B52" s="70" t="n">
        <x:v>46071</x:v>
      </x:c>
      <x:c r="C52" t="str">
        <x:v>CUS0048</x:v>
      </x:c>
      <x:c r="D52" t="str">
        <x:v>PRD018</x:v>
      </x:c>
      <x:c r="E52" t="n">
        <x:v>4</x:v>
      </x:c>
      <x:c r="F52" s="72" t="n">
        <x:v>11070</x:v>
      </x:c>
      <x:c r="G52" s="72" t="n">
        <x:v>0</x:v>
      </x:c>
      <x:c r="H52" s="72" t="n">
        <x:v>44280</x:v>
      </x:c>
      <x:c r="I52" t="str">
        <x:v>Bafoussam Branch</x:v>
      </x:c>
      <x:c r="J52" t="str">
        <x:v>Store</x:v>
      </x:c>
      <x:c r="K52" t="str">
        <x:v>Paid</x:v>
      </x:c>
    </x:row>
    <x:row r="53" ht="18" customHeight="1">
      <x:c r="A53" t="str">
        <x:v>SO00049</x:v>
      </x:c>
      <x:c r="B53" s="70" t="n">
        <x:v>46072</x:v>
      </x:c>
      <x:c r="C53" t="str">
        <x:v>CUS0049</x:v>
      </x:c>
      <x:c r="D53" t="str">
        <x:v>PRD019</x:v>
      </x:c>
      <x:c r="E53" t="n">
        <x:v>5</x:v>
      </x:c>
      <x:c r="F53" s="72" t="n">
        <x:v>11620</x:v>
      </x:c>
      <x:c r="G53" s="72" t="n">
        <x:v>0</x:v>
      </x:c>
      <x:c r="H53" s="72" t="n">
        <x:v>58100</x:v>
      </x:c>
      <x:c r="I53" t="str">
        <x:v>Douala Central</x:v>
      </x:c>
      <x:c r="J53" t="str">
        <x:v>Online</x:v>
      </x:c>
      <x:c r="K53" t="str">
        <x:v>Paid</x:v>
      </x:c>
    </x:row>
    <x:row r="54" ht="18" customHeight="1">
      <x:c r="A54" t="str">
        <x:v>SO00050</x:v>
      </x:c>
      <x:c r="B54" s="70" t="n">
        <x:v>46073</x:v>
      </x:c>
      <x:c r="C54" t="str">
        <x:v>CUS0050</x:v>
      </x:c>
      <x:c r="D54" t="str">
        <x:v>PRD020</x:v>
      </x:c>
      <x:c r="E54" t="n">
        <x:v>1</x:v>
      </x:c>
      <x:c r="F54" s="72" t="n">
        <x:v>12160</x:v>
      </x:c>
      <x:c r="G54" s="72" t="n">
        <x:v>608</x:v>
      </x:c>
      <x:c r="H54" s="72" t="n">
        <x:v>11552</x:v>
      </x:c>
      <x:c r="I54" t="str">
        <x:v>Yaounde Central</x:v>
      </x:c>
      <x:c r="J54" t="str">
        <x:v>Wholesale</x:v>
      </x:c>
      <x:c r="K54" t="str">
        <x:v>Paid</x:v>
      </x:c>
    </x:row>
    <x:row r="55" ht="18" customHeight="1">
      <x:c r="A55" t="str">
        <x:v>SO00051</x:v>
      </x:c>
      <x:c r="B55" s="70" t="n">
        <x:v>46074</x:v>
      </x:c>
      <x:c r="C55" t="str">
        <x:v>CUS0051</x:v>
      </x:c>
      <x:c r="D55" t="str">
        <x:v>PRD021</x:v>
      </x:c>
      <x:c r="E55" t="n">
        <x:v>2</x:v>
      </x:c>
      <x:c r="F55" s="72" t="n">
        <x:v>12700</x:v>
      </x:c>
      <x:c r="G55" s="72" t="n">
        <x:v>0</x:v>
      </x:c>
      <x:c r="H55" s="72" t="n">
        <x:v>25400</x:v>
      </x:c>
      <x:c r="I55" t="str">
        <x:v>Buea Branch</x:v>
      </x:c>
      <x:c r="J55" t="str">
        <x:v>Corporate</x:v>
      </x:c>
      <x:c r="K55" t="str">
        <x:v>Paid</x:v>
      </x:c>
    </x:row>
    <x:row r="56" ht="18" customHeight="1">
      <x:c r="A56" t="str">
        <x:v>SO00052</x:v>
      </x:c>
      <x:c r="B56" s="70" t="n">
        <x:v>46075</x:v>
      </x:c>
      <x:c r="C56" t="str">
        <x:v>CUS0052</x:v>
      </x:c>
      <x:c r="D56" t="str">
        <x:v>PRD022</x:v>
      </x:c>
      <x:c r="E56" t="n">
        <x:v>3</x:v>
      </x:c>
      <x:c r="F56" s="72" t="n">
        <x:v>13250</x:v>
      </x:c>
      <x:c r="G56" s="72" t="n">
        <x:v>0</x:v>
      </x:c>
      <x:c r="H56" s="72" t="n">
        <x:v>39750</x:v>
      </x:c>
      <x:c r="I56" t="str">
        <x:v>Bafoussam Branch</x:v>
      </x:c>
      <x:c r="J56" t="str">
        <x:v>Store</x:v>
      </x:c>
      <x:c r="K56" t="str">
        <x:v>Paid</x:v>
      </x:c>
    </x:row>
    <x:row r="57" ht="18" customHeight="1">
      <x:c r="A57" t="str">
        <x:v>SO00053</x:v>
      </x:c>
      <x:c r="B57" s="70" t="n">
        <x:v>46076</x:v>
      </x:c>
      <x:c r="C57" t="str">
        <x:v>CUS0053</x:v>
      </x:c>
      <x:c r="D57" t="str">
        <x:v>PRD023</x:v>
      </x:c>
      <x:c r="E57" t="n">
        <x:v>4</x:v>
      </x:c>
      <x:c r="F57" s="72" t="n">
        <x:v>13790</x:v>
      </x:c>
      <x:c r="G57" s="72" t="n">
        <x:v>0</x:v>
      </x:c>
      <x:c r="H57" s="72" t="n">
        <x:v>55160</x:v>
      </x:c>
      <x:c r="I57" t="str">
        <x:v>Douala Central</x:v>
      </x:c>
      <x:c r="J57" t="str">
        <x:v>Online</x:v>
      </x:c>
      <x:c r="K57" t="str">
        <x:v>Paid</x:v>
      </x:c>
    </x:row>
    <x:row r="58" ht="18" customHeight="1">
      <x:c r="A58" t="str">
        <x:v>SO00054</x:v>
      </x:c>
      <x:c r="B58" s="70" t="n">
        <x:v>46077</x:v>
      </x:c>
      <x:c r="C58" t="str">
        <x:v>CUS0054</x:v>
      </x:c>
      <x:c r="D58" t="str">
        <x:v>PRD024</x:v>
      </x:c>
      <x:c r="E58" t="n">
        <x:v>5</x:v>
      </x:c>
      <x:c r="F58" s="72" t="n">
        <x:v>14340</x:v>
      </x:c>
      <x:c r="G58" s="72" t="n">
        <x:v>0</x:v>
      </x:c>
      <x:c r="H58" s="72" t="n">
        <x:v>71700</x:v>
      </x:c>
      <x:c r="I58" t="str">
        <x:v>Yaounde Central</x:v>
      </x:c>
      <x:c r="J58" t="str">
        <x:v>Wholesale</x:v>
      </x:c>
      <x:c r="K58" t="str">
        <x:v>Paid</x:v>
      </x:c>
    </x:row>
    <x:row r="59" ht="18" customHeight="1">
      <x:c r="A59" t="str">
        <x:v>SO00055</x:v>
      </x:c>
      <x:c r="B59" s="70" t="n">
        <x:v>46078</x:v>
      </x:c>
      <x:c r="C59" t="str">
        <x:v>CUS0055</x:v>
      </x:c>
      <x:c r="D59" t="str">
        <x:v>PRD025</x:v>
      </x:c>
      <x:c r="E59" t="n">
        <x:v>1</x:v>
      </x:c>
      <x:c r="F59" s="72" t="n">
        <x:v>14880</x:v>
      </x:c>
      <x:c r="G59" s="72" t="n">
        <x:v>0</x:v>
      </x:c>
      <x:c r="H59" s="72" t="n">
        <x:v>14880</x:v>
      </x:c>
      <x:c r="I59" t="str">
        <x:v>Buea Branch</x:v>
      </x:c>
      <x:c r="J59" t="str">
        <x:v>Corporate</x:v>
      </x:c>
      <x:c r="K59" t="str">
        <x:v>Partial</x:v>
      </x:c>
    </x:row>
    <x:row r="60" ht="18" customHeight="1">
      <x:c r="A60" t="str">
        <x:v>SO00056</x:v>
      </x:c>
      <x:c r="B60" s="70" t="n">
        <x:v>46079</x:v>
      </x:c>
      <x:c r="C60" t="str">
        <x:v>CUS0056</x:v>
      </x:c>
      <x:c r="D60" t="str">
        <x:v>PRD026</x:v>
      </x:c>
      <x:c r="E60" t="n">
        <x:v>2</x:v>
      </x:c>
      <x:c r="F60" s="72" t="n">
        <x:v>15420</x:v>
      </x:c>
      <x:c r="G60" s="72" t="n">
        <x:v>0</x:v>
      </x:c>
      <x:c r="H60" s="72" t="n">
        <x:v>30840</x:v>
      </x:c>
      <x:c r="I60" t="str">
        <x:v>Bafoussam Branch</x:v>
      </x:c>
      <x:c r="J60" t="str">
        <x:v>Store</x:v>
      </x:c>
      <x:c r="K60" t="str">
        <x:v>Paid</x:v>
      </x:c>
    </x:row>
    <x:row r="61" ht="18" customHeight="1">
      <x:c r="A61" t="str">
        <x:v>SO00057</x:v>
      </x:c>
      <x:c r="B61" s="70" t="n">
        <x:v>46080</x:v>
      </x:c>
      <x:c r="C61" t="str">
        <x:v>CUS0057</x:v>
      </x:c>
      <x:c r="D61" t="str">
        <x:v>PRD027</x:v>
      </x:c>
      <x:c r="E61" t="n">
        <x:v>3</x:v>
      </x:c>
      <x:c r="F61" s="72" t="n">
        <x:v>15970</x:v>
      </x:c>
      <x:c r="G61" s="72" t="n">
        <x:v>0</x:v>
      </x:c>
      <x:c r="H61" s="72" t="n">
        <x:v>47910</x:v>
      </x:c>
      <x:c r="I61" t="str">
        <x:v>Douala Central</x:v>
      </x:c>
      <x:c r="J61" t="str">
        <x:v>Online</x:v>
      </x:c>
      <x:c r="K61" t="str">
        <x:v>Paid</x:v>
      </x:c>
    </x:row>
    <x:row r="62" ht="18" customHeight="1">
      <x:c r="A62" t="str">
        <x:v>SO00058</x:v>
      </x:c>
      <x:c r="B62" s="70" t="n">
        <x:v>46081</x:v>
      </x:c>
      <x:c r="C62" t="str">
        <x:v>CUS0058</x:v>
      </x:c>
      <x:c r="D62" t="str">
        <x:v>PRD028</x:v>
      </x:c>
      <x:c r="E62" t="n">
        <x:v>4</x:v>
      </x:c>
      <x:c r="F62" s="72" t="n">
        <x:v>16510</x:v>
      </x:c>
      <x:c r="G62" s="72" t="n">
        <x:v>0</x:v>
      </x:c>
      <x:c r="H62" s="72" t="n">
        <x:v>66040</x:v>
      </x:c>
      <x:c r="I62" t="str">
        <x:v>Yaounde Central</x:v>
      </x:c>
      <x:c r="J62" t="str">
        <x:v>Wholesale</x:v>
      </x:c>
      <x:c r="K62" t="str">
        <x:v>Paid</x:v>
      </x:c>
    </x:row>
    <x:row r="63" ht="18" customHeight="1">
      <x:c r="A63" t="str">
        <x:v>SO00059</x:v>
      </x:c>
      <x:c r="B63" s="70" t="n">
        <x:v>46082</x:v>
      </x:c>
      <x:c r="C63" t="str">
        <x:v>CUS0059</x:v>
      </x:c>
      <x:c r="D63" t="str">
        <x:v>PRD029</x:v>
      </x:c>
      <x:c r="E63" t="n">
        <x:v>5</x:v>
      </x:c>
      <x:c r="F63" s="72" t="n">
        <x:v>17060</x:v>
      </x:c>
      <x:c r="G63" s="72" t="n">
        <x:v>0</x:v>
      </x:c>
      <x:c r="H63" s="72" t="n">
        <x:v>85300</x:v>
      </x:c>
      <x:c r="I63" t="str">
        <x:v>Buea Branch</x:v>
      </x:c>
      <x:c r="J63" t="str">
        <x:v>Corporate</x:v>
      </x:c>
      <x:c r="K63" t="str">
        <x:v>Paid</x:v>
      </x:c>
    </x:row>
    <x:row r="64" ht="18" customHeight="1">
      <x:c r="A64" t="str">
        <x:v>SO00060</x:v>
      </x:c>
      <x:c r="B64" s="70" t="n">
        <x:v>46083</x:v>
      </x:c>
      <x:c r="C64" t="str">
        <x:v>CUS0060</x:v>
      </x:c>
      <x:c r="D64" t="str">
        <x:v>PRD030</x:v>
      </x:c>
      <x:c r="E64" t="n">
        <x:v>1</x:v>
      </x:c>
      <x:c r="F64" s="72" t="n">
        <x:v>17600</x:v>
      </x:c>
      <x:c r="G64" s="72" t="n">
        <x:v>880</x:v>
      </x:c>
      <x:c r="H64" s="72" t="n">
        <x:v>16720</x:v>
      </x:c>
      <x:c r="I64" t="str">
        <x:v>Bafoussam Branch</x:v>
      </x:c>
      <x:c r="J64" t="str">
        <x:v>Store</x:v>
      </x:c>
      <x:c r="K64" t="str">
        <x:v>Paid</x:v>
      </x:c>
    </x:row>
    <x:row r="65" ht="18" customHeight="1">
      <x:c r="A65" t="str">
        <x:v>SO00061</x:v>
      </x:c>
      <x:c r="B65" s="70" t="n">
        <x:v>46084</x:v>
      </x:c>
      <x:c r="C65" t="str">
        <x:v>CUS0001</x:v>
      </x:c>
      <x:c r="D65" t="str">
        <x:v>PRD001</x:v>
      </x:c>
      <x:c r="E65" t="n">
        <x:v>2</x:v>
      </x:c>
      <x:c r="F65" s="72" t="n">
        <x:v>1820</x:v>
      </x:c>
      <x:c r="G65" s="72" t="n">
        <x:v>0</x:v>
      </x:c>
      <x:c r="H65" s="72" t="n">
        <x:v>3640</x:v>
      </x:c>
      <x:c r="I65" t="str">
        <x:v>Douala Central</x:v>
      </x:c>
      <x:c r="J65" t="str">
        <x:v>Online</x:v>
      </x:c>
      <x:c r="K65" t="str">
        <x:v>Paid</x:v>
      </x:c>
    </x:row>
    <x:row r="66" ht="18" customHeight="1">
      <x:c r="A66" t="str">
        <x:v>SO00062</x:v>
      </x:c>
      <x:c r="B66" s="70" t="n">
        <x:v>46085</x:v>
      </x:c>
      <x:c r="C66" t="str">
        <x:v>CUS0002</x:v>
      </x:c>
      <x:c r="D66" t="str">
        <x:v>PRD002</x:v>
      </x:c>
      <x:c r="E66" t="n">
        <x:v>3</x:v>
      </x:c>
      <x:c r="F66" s="72" t="n">
        <x:v>2370</x:v>
      </x:c>
      <x:c r="G66" s="72" t="n">
        <x:v>0</x:v>
      </x:c>
      <x:c r="H66" s="72" t="n">
        <x:v>7110</x:v>
      </x:c>
      <x:c r="I66" t="str">
        <x:v>Yaounde Central</x:v>
      </x:c>
      <x:c r="J66" t="str">
        <x:v>Wholesale</x:v>
      </x:c>
      <x:c r="K66" t="str">
        <x:v>Paid</x:v>
      </x:c>
    </x:row>
    <x:row r="67" ht="18" customHeight="1">
      <x:c r="A67" t="str">
        <x:v>SO00063</x:v>
      </x:c>
      <x:c r="B67" s="70" t="n">
        <x:v>46086</x:v>
      </x:c>
      <x:c r="C67" t="str">
        <x:v>CUS0003</x:v>
      </x:c>
      <x:c r="D67" t="str">
        <x:v>PRD003</x:v>
      </x:c>
      <x:c r="E67" t="n">
        <x:v>4</x:v>
      </x:c>
      <x:c r="F67" s="72" t="n">
        <x:v>2910</x:v>
      </x:c>
      <x:c r="G67" s="72" t="n">
        <x:v>0</x:v>
      </x:c>
      <x:c r="H67" s="72" t="n">
        <x:v>11640</x:v>
      </x:c>
      <x:c r="I67" t="str">
        <x:v>Buea Branch</x:v>
      </x:c>
      <x:c r="J67" t="str">
        <x:v>Corporate</x:v>
      </x:c>
      <x:c r="K67" t="str">
        <x:v>Paid</x:v>
      </x:c>
    </x:row>
    <x:row r="68" ht="18" customHeight="1">
      <x:c r="A68" t="str">
        <x:v>SO00064</x:v>
      </x:c>
      <x:c r="B68" s="70" t="n">
        <x:v>46087</x:v>
      </x:c>
      <x:c r="C68" t="str">
        <x:v>CUS0004</x:v>
      </x:c>
      <x:c r="D68" t="str">
        <x:v>PRD004</x:v>
      </x:c>
      <x:c r="E68" t="n">
        <x:v>5</x:v>
      </x:c>
      <x:c r="F68" s="72" t="n">
        <x:v>3460</x:v>
      </x:c>
      <x:c r="G68" s="72" t="n">
        <x:v>0</x:v>
      </x:c>
      <x:c r="H68" s="72" t="n">
        <x:v>17300</x:v>
      </x:c>
      <x:c r="I68" t="str">
        <x:v>Bafoussam Branch</x:v>
      </x:c>
      <x:c r="J68" t="str">
        <x:v>Store</x:v>
      </x:c>
      <x:c r="K68" t="str">
        <x:v>Paid</x:v>
      </x:c>
    </x:row>
    <x:row r="69" ht="18" customHeight="1">
      <x:c r="A69" t="str">
        <x:v>SO00065</x:v>
      </x:c>
      <x:c r="B69" s="70" t="n">
        <x:v>46088</x:v>
      </x:c>
      <x:c r="C69" t="str">
        <x:v>CUS0005</x:v>
      </x:c>
      <x:c r="D69" t="str">
        <x:v>PRD005</x:v>
      </x:c>
      <x:c r="E69" t="n">
        <x:v>1</x:v>
      </x:c>
      <x:c r="F69" s="72" t="n">
        <x:v>4000</x:v>
      </x:c>
      <x:c r="G69" s="72" t="n">
        <x:v>0</x:v>
      </x:c>
      <x:c r="H69" s="72" t="n">
        <x:v>4000</x:v>
      </x:c>
      <x:c r="I69" t="str">
        <x:v>Douala Central</x:v>
      </x:c>
      <x:c r="J69" t="str">
        <x:v>Online</x:v>
      </x:c>
      <x:c r="K69" t="str">
        <x:v>Paid</x:v>
      </x:c>
    </x:row>
    <x:row r="70" ht="18" customHeight="1">
      <x:c r="A70" t="str">
        <x:v>SO00066</x:v>
      </x:c>
      <x:c r="B70" s="70" t="n">
        <x:v>46089</x:v>
      </x:c>
      <x:c r="C70" t="str">
        <x:v>CUS0006</x:v>
      </x:c>
      <x:c r="D70" t="str">
        <x:v>PRD006</x:v>
      </x:c>
      <x:c r="E70" t="n">
        <x:v>2</x:v>
      </x:c>
      <x:c r="F70" s="72" t="n">
        <x:v>4540</x:v>
      </x:c>
      <x:c r="G70" s="72" t="n">
        <x:v>0</x:v>
      </x:c>
      <x:c r="H70" s="72" t="n">
        <x:v>9080</x:v>
      </x:c>
      <x:c r="I70" t="str">
        <x:v>Yaounde Central</x:v>
      </x:c>
      <x:c r="J70" t="str">
        <x:v>Wholesale</x:v>
      </x:c>
      <x:c r="K70" t="str">
        <x:v>Partial</x:v>
      </x:c>
    </x:row>
    <x:row r="71" ht="18" customHeight="1">
      <x:c r="A71" t="str">
        <x:v>SO00067</x:v>
      </x:c>
      <x:c r="B71" s="70" t="n">
        <x:v>46090</x:v>
      </x:c>
      <x:c r="C71" t="str">
        <x:v>CUS0007</x:v>
      </x:c>
      <x:c r="D71" t="str">
        <x:v>PRD007</x:v>
      </x:c>
      <x:c r="E71" t="n">
        <x:v>3</x:v>
      </x:c>
      <x:c r="F71" s="72" t="n">
        <x:v>5090</x:v>
      </x:c>
      <x:c r="G71" s="72" t="n">
        <x:v>0</x:v>
      </x:c>
      <x:c r="H71" s="72" t="n">
        <x:v>15270</x:v>
      </x:c>
      <x:c r="I71" t="str">
        <x:v>Buea Branch</x:v>
      </x:c>
      <x:c r="J71" t="str">
        <x:v>Corporate</x:v>
      </x:c>
      <x:c r="K71" t="str">
        <x:v>Paid</x:v>
      </x:c>
    </x:row>
    <x:row r="72" ht="18" customHeight="1">
      <x:c r="A72" t="str">
        <x:v>SO00068</x:v>
      </x:c>
      <x:c r="B72" s="70" t="n">
        <x:v>46091</x:v>
      </x:c>
      <x:c r="C72" t="str">
        <x:v>CUS0008</x:v>
      </x:c>
      <x:c r="D72" t="str">
        <x:v>PRD008</x:v>
      </x:c>
      <x:c r="E72" t="n">
        <x:v>4</x:v>
      </x:c>
      <x:c r="F72" s="72" t="n">
        <x:v>5630</x:v>
      </x:c>
      <x:c r="G72" s="72" t="n">
        <x:v>0</x:v>
      </x:c>
      <x:c r="H72" s="72" t="n">
        <x:v>22520</x:v>
      </x:c>
      <x:c r="I72" t="str">
        <x:v>Bafoussam Branch</x:v>
      </x:c>
      <x:c r="J72" t="str">
        <x:v>Store</x:v>
      </x:c>
      <x:c r="K72" t="str">
        <x:v>Paid</x:v>
      </x:c>
    </x:row>
    <x:row r="73" ht="18" customHeight="1">
      <x:c r="A73" t="str">
        <x:v>SO00069</x:v>
      </x:c>
      <x:c r="B73" s="70" t="n">
        <x:v>46092</x:v>
      </x:c>
      <x:c r="C73" t="str">
        <x:v>CUS0009</x:v>
      </x:c>
      <x:c r="D73" t="str">
        <x:v>PRD009</x:v>
      </x:c>
      <x:c r="E73" t="n">
        <x:v>5</x:v>
      </x:c>
      <x:c r="F73" s="72" t="n">
        <x:v>6180</x:v>
      </x:c>
      <x:c r="G73" s="72" t="n">
        <x:v>0</x:v>
      </x:c>
      <x:c r="H73" s="72" t="n">
        <x:v>30900</x:v>
      </x:c>
      <x:c r="I73" t="str">
        <x:v>Douala Central</x:v>
      </x:c>
      <x:c r="J73" t="str">
        <x:v>Online</x:v>
      </x:c>
      <x:c r="K73" t="str">
        <x:v>Paid</x:v>
      </x:c>
    </x:row>
    <x:row r="74" ht="18" customHeight="1">
      <x:c r="A74" t="str">
        <x:v>SO00070</x:v>
      </x:c>
      <x:c r="B74" s="70" t="n">
        <x:v>46093</x:v>
      </x:c>
      <x:c r="C74" t="str">
        <x:v>CUS0010</x:v>
      </x:c>
      <x:c r="D74" t="str">
        <x:v>PRD010</x:v>
      </x:c>
      <x:c r="E74" t="n">
        <x:v>1</x:v>
      </x:c>
      <x:c r="F74" s="72" t="n">
        <x:v>6720</x:v>
      </x:c>
      <x:c r="G74" s="72" t="n">
        <x:v>336</x:v>
      </x:c>
      <x:c r="H74" s="72" t="n">
        <x:v>6384</x:v>
      </x:c>
      <x:c r="I74" t="str">
        <x:v>Yaounde Central</x:v>
      </x:c>
      <x:c r="J74" t="str">
        <x:v>Wholesale</x:v>
      </x:c>
      <x:c r="K74" t="str">
        <x:v>Paid</x:v>
      </x:c>
    </x:row>
    <x:row r="75" ht="18" customHeight="1">
      <x:c r="A75" t="str">
        <x:v>SO00071</x:v>
      </x:c>
      <x:c r="B75" s="70" t="n">
        <x:v>46094</x:v>
      </x:c>
      <x:c r="C75" t="str">
        <x:v>CUS0011</x:v>
      </x:c>
      <x:c r="D75" t="str">
        <x:v>PRD011</x:v>
      </x:c>
      <x:c r="E75" t="n">
        <x:v>2</x:v>
      </x:c>
      <x:c r="F75" s="72" t="n">
        <x:v>7260</x:v>
      </x:c>
      <x:c r="G75" s="72" t="n">
        <x:v>0</x:v>
      </x:c>
      <x:c r="H75" s="72" t="n">
        <x:v>14520</x:v>
      </x:c>
      <x:c r="I75" t="str">
        <x:v>Buea Branch</x:v>
      </x:c>
      <x:c r="J75" t="str">
        <x:v>Corporate</x:v>
      </x:c>
      <x:c r="K75" t="str">
        <x:v>Paid</x:v>
      </x:c>
    </x:row>
    <x:row r="76" ht="18" customHeight="1">
      <x:c r="A76" t="str">
        <x:v>SO00072</x:v>
      </x:c>
      <x:c r="B76" s="70" t="n">
        <x:v>46095</x:v>
      </x:c>
      <x:c r="C76" t="str">
        <x:v>CUS0012</x:v>
      </x:c>
      <x:c r="D76" t="str">
        <x:v>PRD012</x:v>
      </x:c>
      <x:c r="E76" t="n">
        <x:v>3</x:v>
      </x:c>
      <x:c r="F76" s="72" t="n">
        <x:v>7810</x:v>
      </x:c>
      <x:c r="G76" s="72" t="n">
        <x:v>0</x:v>
      </x:c>
      <x:c r="H76" s="72" t="n">
        <x:v>23430</x:v>
      </x:c>
      <x:c r="I76" t="str">
        <x:v>Bafoussam Branch</x:v>
      </x:c>
      <x:c r="J76" t="str">
        <x:v>Store</x:v>
      </x:c>
      <x:c r="K76" t="str">
        <x:v>Paid</x:v>
      </x:c>
    </x:row>
    <x:row r="77" ht="18" customHeight="1">
      <x:c r="A77" t="str">
        <x:v>SO00073</x:v>
      </x:c>
      <x:c r="B77" s="70" t="n">
        <x:v>46096</x:v>
      </x:c>
      <x:c r="C77" t="str">
        <x:v>CUS0013</x:v>
      </x:c>
      <x:c r="D77" t="str">
        <x:v>PRD013</x:v>
      </x:c>
      <x:c r="E77" t="n">
        <x:v>4</x:v>
      </x:c>
      <x:c r="F77" s="72" t="n">
        <x:v>8350</x:v>
      </x:c>
      <x:c r="G77" s="72" t="n">
        <x:v>0</x:v>
      </x:c>
      <x:c r="H77" s="72" t="n">
        <x:v>33400</x:v>
      </x:c>
      <x:c r="I77" t="str">
        <x:v>Douala Central</x:v>
      </x:c>
      <x:c r="J77" t="str">
        <x:v>Online</x:v>
      </x:c>
      <x:c r="K77" t="str">
        <x:v>Paid</x:v>
      </x:c>
    </x:row>
    <x:row r="78" ht="18" customHeight="1">
      <x:c r="A78" t="str">
        <x:v>SO00074</x:v>
      </x:c>
      <x:c r="B78" s="70" t="n">
        <x:v>46097</x:v>
      </x:c>
      <x:c r="C78" t="str">
        <x:v>CUS0014</x:v>
      </x:c>
      <x:c r="D78" t="str">
        <x:v>PRD014</x:v>
      </x:c>
      <x:c r="E78" t="n">
        <x:v>5</x:v>
      </x:c>
      <x:c r="F78" s="72" t="n">
        <x:v>8900</x:v>
      </x:c>
      <x:c r="G78" s="72" t="n">
        <x:v>0</x:v>
      </x:c>
      <x:c r="H78" s="72" t="n">
        <x:v>44500</x:v>
      </x:c>
      <x:c r="I78" t="str">
        <x:v>Yaounde Central</x:v>
      </x:c>
      <x:c r="J78" t="str">
        <x:v>Wholesale</x:v>
      </x:c>
      <x:c r="K78" t="str">
        <x:v>Paid</x:v>
      </x:c>
    </x:row>
    <x:row r="79" ht="18" customHeight="1">
      <x:c r="A79" t="str">
        <x:v>SO00075</x:v>
      </x:c>
      <x:c r="B79" s="70" t="n">
        <x:v>46098</x:v>
      </x:c>
      <x:c r="C79" t="str">
        <x:v>CUS0015</x:v>
      </x:c>
      <x:c r="D79" t="str">
        <x:v>PRD015</x:v>
      </x:c>
      <x:c r="E79" t="n">
        <x:v>1</x:v>
      </x:c>
      <x:c r="F79" s="72" t="n">
        <x:v>9440</x:v>
      </x:c>
      <x:c r="G79" s="72" t="n">
        <x:v>0</x:v>
      </x:c>
      <x:c r="H79" s="72" t="n">
        <x:v>9440</x:v>
      </x:c>
      <x:c r="I79" t="str">
        <x:v>Buea Branch</x:v>
      </x:c>
      <x:c r="J79" t="str">
        <x:v>Corporate</x:v>
      </x:c>
      <x:c r="K79" t="str">
        <x:v>Paid</x:v>
      </x:c>
    </x:row>
    <x:row r="80" ht="18" customHeight="1">
      <x:c r="A80" t="str">
        <x:v>SO00076</x:v>
      </x:c>
      <x:c r="B80" s="70" t="n">
        <x:v>46099</x:v>
      </x:c>
      <x:c r="C80" t="str">
        <x:v>CUS0016</x:v>
      </x:c>
      <x:c r="D80" t="str">
        <x:v>PRD016</x:v>
      </x:c>
      <x:c r="E80" t="n">
        <x:v>2</x:v>
      </x:c>
      <x:c r="F80" s="72" t="n">
        <x:v>9980</x:v>
      </x:c>
      <x:c r="G80" s="72" t="n">
        <x:v>0</x:v>
      </x:c>
      <x:c r="H80" s="72" t="n">
        <x:v>19960</x:v>
      </x:c>
      <x:c r="I80" t="str">
        <x:v>Bafoussam Branch</x:v>
      </x:c>
      <x:c r="J80" t="str">
        <x:v>Store</x:v>
      </x:c>
      <x:c r="K80" t="str">
        <x:v>Paid</x:v>
      </x:c>
    </x:row>
    <x:row r="81" ht="18" customHeight="1">
      <x:c r="A81" t="str">
        <x:v>SO00077</x:v>
      </x:c>
      <x:c r="B81" s="70" t="n">
        <x:v>46100</x:v>
      </x:c>
      <x:c r="C81" t="str">
        <x:v>CUS0017</x:v>
      </x:c>
      <x:c r="D81" t="str">
        <x:v>PRD017</x:v>
      </x:c>
      <x:c r="E81" t="n">
        <x:v>3</x:v>
      </x:c>
      <x:c r="F81" s="72" t="n">
        <x:v>10530</x:v>
      </x:c>
      <x:c r="G81" s="72" t="n">
        <x:v>0</x:v>
      </x:c>
      <x:c r="H81" s="72" t="n">
        <x:v>31590</x:v>
      </x:c>
      <x:c r="I81" t="str">
        <x:v>Douala Central</x:v>
      </x:c>
      <x:c r="J81" t="str">
        <x:v>Online</x:v>
      </x:c>
      <x:c r="K81" t="str">
        <x:v>Partial</x:v>
      </x:c>
    </x:row>
    <x:row r="82" ht="18" customHeight="1">
      <x:c r="A82" t="str">
        <x:v>SO00078</x:v>
      </x:c>
      <x:c r="B82" s="70" t="n">
        <x:v>46101</x:v>
      </x:c>
      <x:c r="C82" t="str">
        <x:v>CUS0018</x:v>
      </x:c>
      <x:c r="D82" t="str">
        <x:v>PRD018</x:v>
      </x:c>
      <x:c r="E82" t="n">
        <x:v>4</x:v>
      </x:c>
      <x:c r="F82" s="72" t="n">
        <x:v>11070</x:v>
      </x:c>
      <x:c r="G82" s="72" t="n">
        <x:v>0</x:v>
      </x:c>
      <x:c r="H82" s="72" t="n">
        <x:v>44280</x:v>
      </x:c>
      <x:c r="I82" t="str">
        <x:v>Yaounde Central</x:v>
      </x:c>
      <x:c r="J82" t="str">
        <x:v>Wholesale</x:v>
      </x:c>
      <x:c r="K82" t="str">
        <x:v>Paid</x:v>
      </x:c>
    </x:row>
    <x:row r="83" ht="18" customHeight="1">
      <x:c r="A83" t="str">
        <x:v>SO00079</x:v>
      </x:c>
      <x:c r="B83" s="70" t="n">
        <x:v>46102</x:v>
      </x:c>
      <x:c r="C83" t="str">
        <x:v>CUS0019</x:v>
      </x:c>
      <x:c r="D83" t="str">
        <x:v>PRD019</x:v>
      </x:c>
      <x:c r="E83" t="n">
        <x:v>5</x:v>
      </x:c>
      <x:c r="F83" s="72" t="n">
        <x:v>11620</x:v>
      </x:c>
      <x:c r="G83" s="72" t="n">
        <x:v>0</x:v>
      </x:c>
      <x:c r="H83" s="72" t="n">
        <x:v>58100</x:v>
      </x:c>
      <x:c r="I83" t="str">
        <x:v>Buea Branch</x:v>
      </x:c>
      <x:c r="J83" t="str">
        <x:v>Corporate</x:v>
      </x:c>
      <x:c r="K83" t="str">
        <x:v>Paid</x:v>
      </x:c>
    </x:row>
    <x:row r="84" ht="18" customHeight="1">
      <x:c r="A84" t="str">
        <x:v>SO00080</x:v>
      </x:c>
      <x:c r="B84" s="70" t="n">
        <x:v>46103</x:v>
      </x:c>
      <x:c r="C84" t="str">
        <x:v>CUS0020</x:v>
      </x:c>
      <x:c r="D84" t="str">
        <x:v>PRD020</x:v>
      </x:c>
      <x:c r="E84" t="n">
        <x:v>1</x:v>
      </x:c>
      <x:c r="F84" s="72" t="n">
        <x:v>12160</x:v>
      </x:c>
      <x:c r="G84" s="72" t="n">
        <x:v>608</x:v>
      </x:c>
      <x:c r="H84" s="72" t="n">
        <x:v>11552</x:v>
      </x:c>
      <x:c r="I84" t="str">
        <x:v>Bafoussam Branch</x:v>
      </x:c>
      <x:c r="J84" t="str">
        <x:v>Store</x:v>
      </x:c>
      <x:c r="K84" t="str">
        <x:v>Paid</x:v>
      </x:c>
    </x:row>
    <x:row r="85" ht="18" customHeight="1">
      <x:c r="A85" t="str">
        <x:v>SO00081</x:v>
      </x:c>
      <x:c r="B85" s="70" t="n">
        <x:v>46104</x:v>
      </x:c>
      <x:c r="C85" t="str">
        <x:v>CUS0021</x:v>
      </x:c>
      <x:c r="D85" t="str">
        <x:v>PRD021</x:v>
      </x:c>
      <x:c r="E85" t="n">
        <x:v>2</x:v>
      </x:c>
      <x:c r="F85" s="72" t="n">
        <x:v>12700</x:v>
      </x:c>
      <x:c r="G85" s="72" t="n">
        <x:v>0</x:v>
      </x:c>
      <x:c r="H85" s="72" t="n">
        <x:v>25400</x:v>
      </x:c>
      <x:c r="I85" t="str">
        <x:v>Douala Central</x:v>
      </x:c>
      <x:c r="J85" t="str">
        <x:v>Online</x:v>
      </x:c>
      <x:c r="K85" t="str">
        <x:v>Paid</x:v>
      </x:c>
    </x:row>
    <x:row r="86" ht="18" customHeight="1">
      <x:c r="A86" t="str">
        <x:v>SO00082</x:v>
      </x:c>
      <x:c r="B86" s="70" t="n">
        <x:v>46105</x:v>
      </x:c>
      <x:c r="C86" t="str">
        <x:v>CUS0022</x:v>
      </x:c>
      <x:c r="D86" t="str">
        <x:v>PRD022</x:v>
      </x:c>
      <x:c r="E86" t="n">
        <x:v>3</x:v>
      </x:c>
      <x:c r="F86" s="72" t="n">
        <x:v>13250</x:v>
      </x:c>
      <x:c r="G86" s="72" t="n">
        <x:v>0</x:v>
      </x:c>
      <x:c r="H86" s="72" t="n">
        <x:v>39750</x:v>
      </x:c>
      <x:c r="I86" t="str">
        <x:v>Yaounde Central</x:v>
      </x:c>
      <x:c r="J86" t="str">
        <x:v>Wholesale</x:v>
      </x:c>
      <x:c r="K86" t="str">
        <x:v>Paid</x:v>
      </x:c>
    </x:row>
    <x:row r="87" ht="18" customHeight="1">
      <x:c r="A87" t="str">
        <x:v>SO00083</x:v>
      </x:c>
      <x:c r="B87" s="70" t="n">
        <x:v>46106</x:v>
      </x:c>
      <x:c r="C87" t="str">
        <x:v>CUS0023</x:v>
      </x:c>
      <x:c r="D87" t="str">
        <x:v>PRD023</x:v>
      </x:c>
      <x:c r="E87" t="n">
        <x:v>4</x:v>
      </x:c>
      <x:c r="F87" s="72" t="n">
        <x:v>13790</x:v>
      </x:c>
      <x:c r="G87" s="72" t="n">
        <x:v>0</x:v>
      </x:c>
      <x:c r="H87" s="72" t="n">
        <x:v>55160</x:v>
      </x:c>
      <x:c r="I87" t="str">
        <x:v>Buea Branch</x:v>
      </x:c>
      <x:c r="J87" t="str">
        <x:v>Corporate</x:v>
      </x:c>
      <x:c r="K87" t="str">
        <x:v>Paid</x:v>
      </x:c>
    </x:row>
    <x:row r="88" ht="18" customHeight="1">
      <x:c r="A88" t="str">
        <x:v>SO00084</x:v>
      </x:c>
      <x:c r="B88" s="70" t="n">
        <x:v>46107</x:v>
      </x:c>
      <x:c r="C88" t="str">
        <x:v>CUS0024</x:v>
      </x:c>
      <x:c r="D88" t="str">
        <x:v>PRD024</x:v>
      </x:c>
      <x:c r="E88" t="n">
        <x:v>5</x:v>
      </x:c>
      <x:c r="F88" s="72" t="n">
        <x:v>14340</x:v>
      </x:c>
      <x:c r="G88" s="72" t="n">
        <x:v>0</x:v>
      </x:c>
      <x:c r="H88" s="72" t="n">
        <x:v>71700</x:v>
      </x:c>
      <x:c r="I88" t="str">
        <x:v>Bafoussam Branch</x:v>
      </x:c>
      <x:c r="J88" t="str">
        <x:v>Store</x:v>
      </x:c>
      <x:c r="K88" t="str">
        <x:v>Paid</x:v>
      </x:c>
    </x:row>
    <x:row r="89" ht="18" customHeight="1">
      <x:c r="A89" t="str">
        <x:v>SO00085</x:v>
      </x:c>
      <x:c r="B89" s="70" t="n">
        <x:v>46108</x:v>
      </x:c>
      <x:c r="C89" t="str">
        <x:v>CUS0025</x:v>
      </x:c>
      <x:c r="D89" t="str">
        <x:v>PRD025</x:v>
      </x:c>
      <x:c r="E89" t="n">
        <x:v>1</x:v>
      </x:c>
      <x:c r="F89" s="72" t="n">
        <x:v>14880</x:v>
      </x:c>
      <x:c r="G89" s="72" t="n">
        <x:v>0</x:v>
      </x:c>
      <x:c r="H89" s="72" t="n">
        <x:v>14880</x:v>
      </x:c>
      <x:c r="I89" t="str">
        <x:v>Douala Central</x:v>
      </x:c>
      <x:c r="J89" t="str">
        <x:v>Online</x:v>
      </x:c>
      <x:c r="K89" t="str">
        <x:v>Paid</x:v>
      </x:c>
    </x:row>
    <x:row r="90" ht="18" customHeight="1">
      <x:c r="A90" t="str">
        <x:v>SO00086</x:v>
      </x:c>
      <x:c r="B90" s="70" t="n">
        <x:v>46109</x:v>
      </x:c>
      <x:c r="C90" t="str">
        <x:v>CUS0026</x:v>
      </x:c>
      <x:c r="D90" t="str">
        <x:v>PRD026</x:v>
      </x:c>
      <x:c r="E90" t="n">
        <x:v>2</x:v>
      </x:c>
      <x:c r="F90" s="72" t="n">
        <x:v>15420</x:v>
      </x:c>
      <x:c r="G90" s="72" t="n">
        <x:v>0</x:v>
      </x:c>
      <x:c r="H90" s="72" t="n">
        <x:v>30840</x:v>
      </x:c>
      <x:c r="I90" t="str">
        <x:v>Yaounde Central</x:v>
      </x:c>
      <x:c r="J90" t="str">
        <x:v>Wholesale</x:v>
      </x:c>
      <x:c r="K90" t="str">
        <x:v>Paid</x:v>
      </x:c>
    </x:row>
    <x:row r="91" ht="18" customHeight="1">
      <x:c r="A91" t="str">
        <x:v>SO00087</x:v>
      </x:c>
      <x:c r="B91" s="70" t="n">
        <x:v>46110</x:v>
      </x:c>
      <x:c r="C91" t="str">
        <x:v>CUS0027</x:v>
      </x:c>
      <x:c r="D91" t="str">
        <x:v>PRD027</x:v>
      </x:c>
      <x:c r="E91" t="n">
        <x:v>3</x:v>
      </x:c>
      <x:c r="F91" s="72" t="n">
        <x:v>15970</x:v>
      </x:c>
      <x:c r="G91" s="72" t="n">
        <x:v>0</x:v>
      </x:c>
      <x:c r="H91" s="72" t="n">
        <x:v>47910</x:v>
      </x:c>
      <x:c r="I91" t="str">
        <x:v>Buea Branch</x:v>
      </x:c>
      <x:c r="J91" t="str">
        <x:v>Corporate</x:v>
      </x:c>
      <x:c r="K91" t="str">
        <x:v>Paid</x:v>
      </x:c>
    </x:row>
    <x:row r="92" ht="18" customHeight="1">
      <x:c r="A92" t="str">
        <x:v>SO00088</x:v>
      </x:c>
      <x:c r="B92" s="70" t="n">
        <x:v>46111</x:v>
      </x:c>
      <x:c r="C92" t="str">
        <x:v>CUS0028</x:v>
      </x:c>
      <x:c r="D92" t="str">
        <x:v>PRD028</x:v>
      </x:c>
      <x:c r="E92" t="n">
        <x:v>4</x:v>
      </x:c>
      <x:c r="F92" s="72" t="n">
        <x:v>16510</x:v>
      </x:c>
      <x:c r="G92" s="72" t="n">
        <x:v>0</x:v>
      </x:c>
      <x:c r="H92" s="72" t="n">
        <x:v>66040</x:v>
      </x:c>
      <x:c r="I92" t="str">
        <x:v>Bafoussam Branch</x:v>
      </x:c>
      <x:c r="J92" t="str">
        <x:v>Store</x:v>
      </x:c>
      <x:c r="K92" t="str">
        <x:v>Partial</x:v>
      </x:c>
    </x:row>
    <x:row r="93" ht="18" customHeight="1">
      <x:c r="A93" t="str">
        <x:v>SO00089</x:v>
      </x:c>
      <x:c r="B93" s="70" t="n">
        <x:v>46112</x:v>
      </x:c>
      <x:c r="C93" t="str">
        <x:v>CUS0029</x:v>
      </x:c>
      <x:c r="D93" t="str">
        <x:v>PRD029</x:v>
      </x:c>
      <x:c r="E93" t="n">
        <x:v>5</x:v>
      </x:c>
      <x:c r="F93" s="72" t="n">
        <x:v>17060</x:v>
      </x:c>
      <x:c r="G93" s="72" t="n">
        <x:v>0</x:v>
      </x:c>
      <x:c r="H93" s="72" t="n">
        <x:v>85300</x:v>
      </x:c>
      <x:c r="I93" t="str">
        <x:v>Douala Central</x:v>
      </x:c>
      <x:c r="J93" t="str">
        <x:v>Online</x:v>
      </x:c>
      <x:c r="K93" t="str">
        <x:v>Paid</x:v>
      </x:c>
    </x:row>
    <x:row r="94" ht="18" customHeight="1">
      <x:c r="A94" t="str">
        <x:v>SO00090</x:v>
      </x:c>
      <x:c r="B94" s="70" t="n">
        <x:v>46113</x:v>
      </x:c>
      <x:c r="C94" t="str">
        <x:v>CUS0030</x:v>
      </x:c>
      <x:c r="D94" t="str">
        <x:v>PRD030</x:v>
      </x:c>
      <x:c r="E94" t="n">
        <x:v>1</x:v>
      </x:c>
      <x:c r="F94" s="72" t="n">
        <x:v>17600</x:v>
      </x:c>
      <x:c r="G94" s="72" t="n">
        <x:v>880</x:v>
      </x:c>
      <x:c r="H94" s="72" t="n">
        <x:v>16720</x:v>
      </x:c>
      <x:c r="I94" t="str">
        <x:v>Yaounde Central</x:v>
      </x:c>
      <x:c r="J94" t="str">
        <x:v>Wholesale</x:v>
      </x:c>
      <x:c r="K94" t="str">
        <x:v>Paid</x:v>
      </x:c>
    </x:row>
    <x:row r="95" ht="18" customHeight="1">
      <x:c r="A95" t="str">
        <x:v>SO00091</x:v>
      </x:c>
      <x:c r="B95" s="70" t="n">
        <x:v>46114</x:v>
      </x:c>
      <x:c r="C95" t="str">
        <x:v>CUS0031</x:v>
      </x:c>
      <x:c r="D95" t="str">
        <x:v>PRD001</x:v>
      </x:c>
      <x:c r="E95" t="n">
        <x:v>2</x:v>
      </x:c>
      <x:c r="F95" s="72" t="n">
        <x:v>1820</x:v>
      </x:c>
      <x:c r="G95" s="72" t="n">
        <x:v>0</x:v>
      </x:c>
      <x:c r="H95" s="72" t="n">
        <x:v>3640</x:v>
      </x:c>
      <x:c r="I95" t="str">
        <x:v>Buea Branch</x:v>
      </x:c>
      <x:c r="J95" t="str">
        <x:v>Corporate</x:v>
      </x:c>
      <x:c r="K95" t="str">
        <x:v>Paid</x:v>
      </x:c>
    </x:row>
    <x:row r="96" ht="18" customHeight="1">
      <x:c r="A96" t="str">
        <x:v>SO00092</x:v>
      </x:c>
      <x:c r="B96" s="70" t="n">
        <x:v>46115</x:v>
      </x:c>
      <x:c r="C96" t="str">
        <x:v>CUS0032</x:v>
      </x:c>
      <x:c r="D96" t="str">
        <x:v>PRD002</x:v>
      </x:c>
      <x:c r="E96" t="n">
        <x:v>3</x:v>
      </x:c>
      <x:c r="F96" s="72" t="n">
        <x:v>2370</x:v>
      </x:c>
      <x:c r="G96" s="72" t="n">
        <x:v>0</x:v>
      </x:c>
      <x:c r="H96" s="72" t="n">
        <x:v>7110</x:v>
      </x:c>
      <x:c r="I96" t="str">
        <x:v>Bafoussam Branch</x:v>
      </x:c>
      <x:c r="J96" t="str">
        <x:v>Store</x:v>
      </x:c>
      <x:c r="K96" t="str">
        <x:v>Paid</x:v>
      </x:c>
    </x:row>
    <x:row r="97" ht="18" customHeight="1">
      <x:c r="A97" t="str">
        <x:v>SO00093</x:v>
      </x:c>
      <x:c r="B97" s="70" t="n">
        <x:v>46116</x:v>
      </x:c>
      <x:c r="C97" t="str">
        <x:v>CUS0033</x:v>
      </x:c>
      <x:c r="D97" t="str">
        <x:v>PRD003</x:v>
      </x:c>
      <x:c r="E97" t="n">
        <x:v>4</x:v>
      </x:c>
      <x:c r="F97" s="72" t="n">
        <x:v>2910</x:v>
      </x:c>
      <x:c r="G97" s="72" t="n">
        <x:v>0</x:v>
      </x:c>
      <x:c r="H97" s="72" t="n">
        <x:v>11640</x:v>
      </x:c>
      <x:c r="I97" t="str">
        <x:v>Douala Central</x:v>
      </x:c>
      <x:c r="J97" t="str">
        <x:v>Online</x:v>
      </x:c>
      <x:c r="K97" t="str">
        <x:v>Paid</x:v>
      </x:c>
    </x:row>
    <x:row r="98" ht="18" customHeight="1">
      <x:c r="A98" t="str">
        <x:v>SO00094</x:v>
      </x:c>
      <x:c r="B98" s="70" t="n">
        <x:v>46117</x:v>
      </x:c>
      <x:c r="C98" t="str">
        <x:v>CUS0034</x:v>
      </x:c>
      <x:c r="D98" t="str">
        <x:v>PRD004</x:v>
      </x:c>
      <x:c r="E98" t="n">
        <x:v>5</x:v>
      </x:c>
      <x:c r="F98" s="72" t="n">
        <x:v>3460</x:v>
      </x:c>
      <x:c r="G98" s="72" t="n">
        <x:v>0</x:v>
      </x:c>
      <x:c r="H98" s="72" t="n">
        <x:v>17300</x:v>
      </x:c>
      <x:c r="I98" t="str">
        <x:v>Yaounde Central</x:v>
      </x:c>
      <x:c r="J98" t="str">
        <x:v>Wholesale</x:v>
      </x:c>
      <x:c r="K98" t="str">
        <x:v>Paid</x:v>
      </x:c>
    </x:row>
    <x:row r="99" ht="18" customHeight="1">
      <x:c r="A99" t="str">
        <x:v>SO00095</x:v>
      </x:c>
      <x:c r="B99" s="70" t="n">
        <x:v>46118</x:v>
      </x:c>
      <x:c r="C99" t="str">
        <x:v>CUS0035</x:v>
      </x:c>
      <x:c r="D99" t="str">
        <x:v>PRD005</x:v>
      </x:c>
      <x:c r="E99" t="n">
        <x:v>1</x:v>
      </x:c>
      <x:c r="F99" s="72" t="n">
        <x:v>4000</x:v>
      </x:c>
      <x:c r="G99" s="72" t="n">
        <x:v>0</x:v>
      </x:c>
      <x:c r="H99" s="72" t="n">
        <x:v>4000</x:v>
      </x:c>
      <x:c r="I99" t="str">
        <x:v>Buea Branch</x:v>
      </x:c>
      <x:c r="J99" t="str">
        <x:v>Corporate</x:v>
      </x:c>
      <x:c r="K99" t="str">
        <x:v>Paid</x:v>
      </x:c>
    </x:row>
    <x:row r="100" ht="18" customHeight="1">
      <x:c r="A100" t="str">
        <x:v>SO00096</x:v>
      </x:c>
      <x:c r="B100" s="70" t="n">
        <x:v>46119</x:v>
      </x:c>
      <x:c r="C100" t="str">
        <x:v>CUS0036</x:v>
      </x:c>
      <x:c r="D100" t="str">
        <x:v>PRD006</x:v>
      </x:c>
      <x:c r="E100" t="n">
        <x:v>2</x:v>
      </x:c>
      <x:c r="F100" s="72" t="n">
        <x:v>4540</x:v>
      </x:c>
      <x:c r="G100" s="72" t="n">
        <x:v>0</x:v>
      </x:c>
      <x:c r="H100" s="72" t="n">
        <x:v>9080</x:v>
      </x:c>
      <x:c r="I100" t="str">
        <x:v>Bafoussam Branch</x:v>
      </x:c>
      <x:c r="J100" t="str">
        <x:v>Store</x:v>
      </x:c>
      <x:c r="K100" t="str">
        <x:v>Paid</x:v>
      </x:c>
    </x:row>
    <x:row r="101" ht="18" customHeight="1">
      <x:c r="A101" t="str">
        <x:v>SO00097</x:v>
      </x:c>
      <x:c r="B101" s="70" t="n">
        <x:v>46120</x:v>
      </x:c>
      <x:c r="C101" t="str">
        <x:v>CUS0037</x:v>
      </x:c>
      <x:c r="D101" t="str">
        <x:v>PRD007</x:v>
      </x:c>
      <x:c r="E101" t="n">
        <x:v>3</x:v>
      </x:c>
      <x:c r="F101" s="72" t="n">
        <x:v>5090</x:v>
      </x:c>
      <x:c r="G101" s="72" t="n">
        <x:v>0</x:v>
      </x:c>
      <x:c r="H101" s="72" t="n">
        <x:v>15270</x:v>
      </x:c>
      <x:c r="I101" t="str">
        <x:v>Douala Central</x:v>
      </x:c>
      <x:c r="J101" t="str">
        <x:v>Online</x:v>
      </x:c>
      <x:c r="K101" t="str">
        <x:v>Paid</x:v>
      </x:c>
    </x:row>
    <x:row r="102" ht="18" customHeight="1">
      <x:c r="A102" t="str">
        <x:v>SO00098</x:v>
      </x:c>
      <x:c r="B102" s="70" t="n">
        <x:v>46121</x:v>
      </x:c>
      <x:c r="C102" t="str">
        <x:v>CUS0038</x:v>
      </x:c>
      <x:c r="D102" t="str">
        <x:v>PRD008</x:v>
      </x:c>
      <x:c r="E102" t="n">
        <x:v>4</x:v>
      </x:c>
      <x:c r="F102" s="72" t="n">
        <x:v>5630</x:v>
      </x:c>
      <x:c r="G102" s="72" t="n">
        <x:v>0</x:v>
      </x:c>
      <x:c r="H102" s="72" t="n">
        <x:v>22520</x:v>
      </x:c>
      <x:c r="I102" t="str">
        <x:v>Yaounde Central</x:v>
      </x:c>
      <x:c r="J102" t="str">
        <x:v>Wholesale</x:v>
      </x:c>
      <x:c r="K102" t="str">
        <x:v>Paid</x:v>
      </x:c>
    </x:row>
    <x:row r="103" ht="18" customHeight="1">
      <x:c r="A103" t="str">
        <x:v>SO00099</x:v>
      </x:c>
      <x:c r="B103" s="70" t="n">
        <x:v>46122</x:v>
      </x:c>
      <x:c r="C103" t="str">
        <x:v>CUS0039</x:v>
      </x:c>
      <x:c r="D103" t="str">
        <x:v>PRD009</x:v>
      </x:c>
      <x:c r="E103" t="n">
        <x:v>5</x:v>
      </x:c>
      <x:c r="F103" s="72" t="n">
        <x:v>6180</x:v>
      </x:c>
      <x:c r="G103" s="72" t="n">
        <x:v>0</x:v>
      </x:c>
      <x:c r="H103" s="72" t="n">
        <x:v>30900</x:v>
      </x:c>
      <x:c r="I103" t="str">
        <x:v>Buea Branch</x:v>
      </x:c>
      <x:c r="J103" t="str">
        <x:v>Corporate</x:v>
      </x:c>
      <x:c r="K103" t="str">
        <x:v>Partial</x:v>
      </x:c>
    </x:row>
    <x:row r="104" ht="18" customHeight="1">
      <x:c r="A104" t="str">
        <x:v>SO00100</x:v>
      </x:c>
      <x:c r="B104" s="70" t="n">
        <x:v>46123</x:v>
      </x:c>
      <x:c r="C104" t="str">
        <x:v>CUS0040</x:v>
      </x:c>
      <x:c r="D104" t="str">
        <x:v>PRD010</x:v>
      </x:c>
      <x:c r="E104" t="n">
        <x:v>1</x:v>
      </x:c>
      <x:c r="F104" s="72" t="n">
        <x:v>6720</x:v>
      </x:c>
      <x:c r="G104" s="72" t="n">
        <x:v>336</x:v>
      </x:c>
      <x:c r="H104" s="72" t="n">
        <x:v>6384</x:v>
      </x:c>
      <x:c r="I104" t="str">
        <x:v>Bafoussam Branch</x:v>
      </x:c>
      <x:c r="J104" t="str">
        <x:v>Store</x:v>
      </x:c>
      <x:c r="K104" t="str">
        <x:v>Paid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5a0529e600a94b3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.5" hidden="0" customWidth="1"/>
    <x:col min="3" max="3" width="14" hidden="0" customWidth="1"/>
    <x:col min="4" max="4" width="14" hidden="0" customWidth="1"/>
    <x:col min="5" max="5" width="9.75" hidden="0" customWidth="1"/>
    <x:col min="6" max="6" width="10.5" hidden="0" customWidth="1"/>
    <x:col min="7" max="7" width="9.75" hidden="0" customWidth="1"/>
    <x:col min="8" max="8" width="11" hidden="0" customWidth="1"/>
    <x:col min="9" max="9" width="20" hidden="0" customWidth="1"/>
    <x:col min="10" max="10" width="9.25" hidden="0" customWidth="1"/>
    <x:col min="11" max="11" width="14.880000114440918" hidden="0" customWidth="1"/>
  </x:cols>
  <x:sheetData>
    <x:row r="1" ht="30" customHeight="1">
      <x:c r="A1" s="5" t="str">
        <x:v>Sales — Messy Practice Data</x:v>
      </x:c>
    </x:row>
    <x:row r="3">
      <x:c r="A3" s="82" t="str">
        <x:v>INTENTIONALLY MESSY DATASET — FOR CLEANING PRACTICE</x:v>
      </x:c>
    </x:row>
    <x:row r="4">
      <x:c r="A4" s="51" t="str">
        <x:v>Order ID</x:v>
      </x:c>
      <x:c r="B4" s="52" t="str">
        <x:v>Order Date</x:v>
      </x:c>
      <x:c r="C4" s="52" t="str">
        <x:v>Customer ID</x:v>
      </x:c>
      <x:c r="D4" s="52" t="str">
        <x:v>Product ID</x:v>
      </x:c>
      <x:c r="E4" s="52" t="str">
        <x:v>Quantity</x:v>
      </x:c>
      <x:c r="F4" s="52" t="str">
        <x:v>Unit Price</x:v>
      </x:c>
      <x:c r="G4" s="52" t="str">
        <x:v>Discount</x:v>
      </x:c>
      <x:c r="H4" s="52" t="str">
        <x:v>Sales Total</x:v>
      </x:c>
      <x:c r="I4" s="52" t="str">
        <x:v>Branch</x:v>
      </x:c>
      <x:c r="J4" s="52" t="str">
        <x:v>Channel</x:v>
      </x:c>
      <x:c r="K4" s="53" t="str">
        <x:v>Payment Status</x:v>
      </x:c>
    </x:row>
    <x:row r="5" ht="18" customHeight="1">
      <x:c r="A5" t="str">
        <x:v>SO00001</x:v>
      </x:c>
      <x:c r="B5" t="n">
        <x:v>46024</x:v>
      </x:c>
      <x:c r="C5" t="str">
        <x:v>CUS0001</x:v>
      </x:c>
      <x:c r="D5" t="str">
        <x:v>PRD001</x:v>
      </x:c>
      <x:c r="E5" t="n">
        <x:v>2</x:v>
      </x:c>
      <x:c r="F5" t="n">
        <x:v>1820</x:v>
      </x:c>
      <x:c r="G5" t="n">
        <x:v>0</x:v>
      </x:c>
      <x:c r="H5" t="n">
        <x:v>3640</x:v>
      </x:c>
      <x:c r="I5" t="str">
        <x:v>Douala Central</x:v>
      </x:c>
      <x:c r="J5" t="str">
        <x:v>Online</x:v>
      </x:c>
      <x:c r="K5" t="str">
        <x:v>Paid</x:v>
      </x:c>
    </x:row>
    <x:row r="6" ht="18" customHeight="1">
      <x:c r="A6" t="str">
        <x:v>SO00002</x:v>
      </x:c>
      <x:c r="B6" t="n">
        <x:v>46025</x:v>
      </x:c>
      <x:c r="C6" t="str">
        <x:v>CUS0002</x:v>
      </x:c>
      <x:c r="D6" t="str">
        <x:v>PRD002</x:v>
      </x:c>
      <x:c r="E6" t="n">
        <x:v>3</x:v>
      </x:c>
      <x:c r="F6" t="n">
        <x:v>2370</x:v>
      </x:c>
      <x:c r="G6" t="n">
        <x:v>0</x:v>
      </x:c>
      <x:c r="H6" t="n">
        <x:v>7110</x:v>
      </x:c>
      <x:c r="I6" t="str">
        <x:v>Yaounde Central</x:v>
      </x:c>
      <x:c r="J6" t="str">
        <x:v>Wholesale</x:v>
      </x:c>
      <x:c r="K6" t="str">
        <x:v>Paid</x:v>
      </x:c>
    </x:row>
    <x:row r="7" ht="18" customHeight="1">
      <x:c r="A7" t="str">
        <x:v>SO00003</x:v>
      </x:c>
      <x:c r="B7" t="str">
        <x:v>01-15-2026</x:v>
      </x:c>
      <x:c r="C7" t="str">
        <x:v>CUS0003</x:v>
      </x:c>
      <x:c r="D7" t="str">
        <x:v>PRD003</x:v>
      </x:c>
      <x:c r="E7" t="n">
        <x:v>4</x:v>
      </x:c>
      <x:c r="F7" t="n">
        <x:v>2910</x:v>
      </x:c>
      <x:c r="G7" t="n">
        <x:v>0</x:v>
      </x:c>
      <x:c r="H7" t="n">
        <x:v>11640</x:v>
      </x:c>
      <x:c r="I7" t="str">
        <x:v>Buea Branch</x:v>
      </x:c>
      <x:c r="J7" t="str">
        <x:v>Corporate</x:v>
      </x:c>
      <x:c r="K7" t="str">
        <x:v>Paid</x:v>
      </x:c>
    </x:row>
    <x:row r="8" ht="18" customHeight="1">
      <x:c r="A8" t="str">
        <x:v>SO00004</x:v>
      </x:c>
      <x:c r="B8" t="n">
        <x:v>46027</x:v>
      </x:c>
      <x:c r="C8" t="str">
        <x:v>CUS0004</x:v>
      </x:c>
      <x:c r="D8" t="str">
        <x:v>PRD004</x:v>
      </x:c>
      <x:c r="E8" t="n">
        <x:v>5</x:v>
      </x:c>
      <x:c r="F8" t="n">
        <x:v>3460</x:v>
      </x:c>
      <x:c r="G8" t="n">
        <x:v>0</x:v>
      </x:c>
      <x:c r="H8" t="n">
        <x:v>17300</x:v>
      </x:c>
      <x:c r="I8" t="str">
        <x:v>Bafoussam Branch</x:v>
      </x:c>
      <x:c r="J8" t="str">
        <x:v>Store</x:v>
      </x:c>
      <x:c r="K8" t="str">
        <x:v>Paid</x:v>
      </x:c>
    </x:row>
    <x:row r="9" ht="18" customHeight="1">
      <x:c r="A9" t="str">
        <x:v>SO00005</x:v>
      </x:c>
      <x:c r="B9" t="n">
        <x:v>46028</x:v>
      </x:c>
      <x:c r="C9" t="str">
        <x:v>CUS0005</x:v>
      </x:c>
      <x:c r="D9" t="str">
        <x:v>PRD005</x:v>
      </x:c>
      <x:c r="E9" t="n">
        <x:v>1</x:v>
      </x:c>
      <x:c r="F9" t="n">
        <x:v>4000</x:v>
      </x:c>
      <x:c r="G9" t="n">
        <x:v>0</x:v>
      </x:c>
      <x:c r="H9" t="n">
        <x:v>4000</x:v>
      </x:c>
      <x:c r="I9" t="str">
        <x:v>Douala Central</x:v>
      </x:c>
      <x:c r="J9" t="str">
        <x:v>Online</x:v>
      </x:c>
      <x:c r="K9" t="str">
        <x:v>Paid</x:v>
      </x:c>
    </x:row>
    <x:row r="10" ht="18" customHeight="1">
      <x:c r="A10" t="str">
        <x:v>SO00006</x:v>
      </x:c>
      <x:c r="B10" t="n">
        <x:v>46029</x:v>
      </x:c>
      <x:c r="C10" t="str">
        <x:v> CUS0006</x:v>
      </x:c>
      <x:c r="D10" t="str">
        <x:v>PRD006</x:v>
      </x:c>
      <x:c r="E10" t="n">
        <x:v>2</x:v>
      </x:c>
      <x:c r="F10" t="n">
        <x:v>4540</x:v>
      </x:c>
      <x:c r="G10" t="n">
        <x:v>0</x:v>
      </x:c>
      <x:c r="H10" t="n">
        <x:v>9080</x:v>
      </x:c>
      <x:c r="I10" t="str">
        <x:v>Yaounde Central</x:v>
      </x:c>
      <x:c r="J10" t="str">
        <x:v>Wholesale</x:v>
      </x:c>
      <x:c r="K10" t="str">
        <x:v>Paid</x:v>
      </x:c>
    </x:row>
    <x:row r="11" ht="18" customHeight="1">
      <x:c r="A11" t="str">
        <x:v>SO00007</x:v>
      </x:c>
      <x:c r="B11" t="n">
        <x:v>46030</x:v>
      </x:c>
      <x:c r="C11" t="str">
        <x:v>CUS0007</x:v>
      </x:c>
      <x:c r="D11" t="str">
        <x:v>PRD007</x:v>
      </x:c>
      <x:c r="E11" t="n">
        <x:v>3</x:v>
      </x:c>
      <x:c r="F11" t="n">
        <x:v>5090</x:v>
      </x:c>
      <x:c r="G11" t="n">
        <x:v>0</x:v>
      </x:c>
      <x:c r="H11" t="n">
        <x:v>15270</x:v>
      </x:c>
      <x:c r="I11" t="str">
        <x:v>Buea Branch</x:v>
      </x:c>
      <x:c r="J11" t="str">
        <x:v>Corporate</x:v>
      </x:c>
      <x:c r="K11" t="str">
        <x:v>Paid</x:v>
      </x:c>
    </x:row>
    <x:row r="12" ht="18" customHeight="1">
      <x:c r="A12" t="str">
        <x:v>SO00008</x:v>
      </x:c>
      <x:c r="B12" t="n">
        <x:v>46031</x:v>
      </x:c>
      <x:c r="C12" t="str">
        <x:v>CUS0008</x:v>
      </x:c>
      <x:c r="D12" t="str">
        <x:v>PRD008</x:v>
      </x:c>
      <x:c r="E12" t="n">
        <x:v>4</x:v>
      </x:c>
      <x:c r="F12" t="n">
        <x:v>5630</x:v>
      </x:c>
      <x:c r="G12" t="n">
        <x:v>0</x:v>
      </x:c>
      <x:c r="H12" t="n">
        <x:v>22520</x:v>
      </x:c>
      <x:c r="I12" t="str">
        <x:v>Bafoussam Branch</x:v>
      </x:c>
      <x:c r="J12" t="str">
        <x:v>Store</x:v>
      </x:c>
      <x:c r="K12" t="str">
        <x:v>Paid</x:v>
      </x:c>
    </x:row>
    <x:row r="13" ht="18" customHeight="1">
      <x:c r="A13" t="str">
        <x:v>SO00009</x:v>
      </x:c>
      <x:c r="B13" t="n">
        <x:v>46032</x:v>
      </x:c>
      <x:c r="C13" t="str">
        <x:v>CUS0009</x:v>
      </x:c>
      <x:c r="D13" t="str">
        <x:v>PRD009 </x:v>
      </x:c>
      <x:c r="E13" t="n">
        <x:v>5</x:v>
      </x:c>
      <x:c r="F13" t="n">
        <x:v>6180</x:v>
      </x:c>
      <x:c r="G13" t="n">
        <x:v>0</x:v>
      </x:c>
      <x:c r="H13" t="n">
        <x:v>30900</x:v>
      </x:c>
      <x:c r="I13" t="str">
        <x:v>Douala Central</x:v>
      </x:c>
      <x:c r="J13" t="str">
        <x:v>Online</x:v>
      </x:c>
      <x:c r="K13" t="str">
        <x:v>Paid</x:v>
      </x:c>
    </x:row>
    <x:row r="14" ht="18" customHeight="1">
      <x:c r="A14" t="str">
        <x:v>SO00010</x:v>
      </x:c>
      <x:c r="B14" t="n">
        <x:v>46033</x:v>
      </x:c>
      <x:c r="C14" t="str">
        <x:v>CUS0010</x:v>
      </x:c>
      <x:c r="D14" t="str">
        <x:v>PRD010</x:v>
      </x:c>
      <x:c r="E14" t="n">
        <x:v>1</x:v>
      </x:c>
      <x:c r="F14" t="n">
        <x:v>6720</x:v>
      </x:c>
      <x:c r="G14" t="n">
        <x:v>336</x:v>
      </x:c>
      <x:c r="H14" t="n">
        <x:v>6384</x:v>
      </x:c>
      <x:c r="I14" t="str">
        <x:v>Yaounde Central</x:v>
      </x:c>
      <x:c r="J14" t="str">
        <x:v>Wholesale</x:v>
      </x:c>
      <x:c r="K14" t="str">
        <x:v>Paid</x:v>
      </x:c>
    </x:row>
    <x:row r="15" ht="18" customHeight="1">
      <x:c r="A15" t="str">
        <x:v>SO00011</x:v>
      </x:c>
      <x:c r="B15" t="n">
        <x:v>46034</x:v>
      </x:c>
      <x:c r="C15" t="str">
        <x:v>CUS0011</x:v>
      </x:c>
      <x:c r="D15" t="str">
        <x:v>PRD011</x:v>
      </x:c>
      <x:c r="E15" t="n">
        <x:v>2</x:v>
      </x:c>
      <x:c r="F15" t="n">
        <x:v>7260</x:v>
      </x:c>
      <x:c r="G15" t="n">
        <x:v>0</x:v>
      </x:c>
      <x:c r="H15" t="n">
        <x:v>14520</x:v>
      </x:c>
      <x:c r="I15" t="str">
        <x:v>Buea Branch</x:v>
      </x:c>
      <x:c r="J15" t="str">
        <x:v>Corporate</x:v>
      </x:c>
      <x:c r="K15" t="str">
        <x:v>Partial</x:v>
      </x:c>
    </x:row>
    <x:row r="16" ht="18" customHeight="1">
      <x:c r="A16" t="str">
        <x:v>SO00012</x:v>
      </x:c>
      <x:c r="B16" t="n">
        <x:v>46035</x:v>
      </x:c>
      <x:c r="C16" t="str">
        <x:v>CUS0012</x:v>
      </x:c>
      <x:c r="D16" t="str">
        <x:v>PRD012</x:v>
      </x:c>
      <x:c r="E16" t="n">
        <x:v>-2</x:v>
      </x:c>
      <x:c r="F16" t="n">
        <x:v>7810</x:v>
      </x:c>
      <x:c r="G16" t="n">
        <x:v>0</x:v>
      </x:c>
      <x:c r="H16" t="n">
        <x:v>23430</x:v>
      </x:c>
      <x:c r="I16" t="str">
        <x:v>Bafoussam Branch</x:v>
      </x:c>
      <x:c r="J16" t="str">
        <x:v>Store</x:v>
      </x:c>
      <x:c r="K16" t="str">
        <x:v>Paid</x:v>
      </x:c>
    </x:row>
    <x:row r="17" ht="18" customHeight="1">
      <x:c r="A17" t="str">
        <x:v>SO00013</x:v>
      </x:c>
      <x:c r="B17" t="n">
        <x:v>46036</x:v>
      </x:c>
      <x:c r="C17" t="str">
        <x:v>CUS0013</x:v>
      </x:c>
      <x:c r="D17" t="str">
        <x:v>PRD013</x:v>
      </x:c>
      <x:c r="E17" t="n">
        <x:v>4</x:v>
      </x:c>
      <x:c r="F17" t="n">
        <x:v>8350</x:v>
      </x:c>
      <x:c r="G17" t="n">
        <x:v>0</x:v>
      </x:c>
      <x:c r="H17" t="n">
        <x:v>33400</x:v>
      </x:c>
      <x:c r="I17" t="str">
        <x:v>Douala Central</x:v>
      </x:c>
      <x:c r="J17" t="str">
        <x:v>Online</x:v>
      </x:c>
      <x:c r="K17" t="str">
        <x:v>Paid</x:v>
      </x:c>
    </x:row>
    <x:row r="18" ht="18" customHeight="1">
      <x:c r="A18" t="str">
        <x:v>SO00014</x:v>
      </x:c>
      <x:c r="B18" t="n">
        <x:v>46037</x:v>
      </x:c>
      <x:c r="C18" t="str">
        <x:v>CUS0014</x:v>
      </x:c>
      <x:c r="D18" t="str">
        <x:v>PRD014</x:v>
      </x:c>
      <x:c r="E18" t="n">
        <x:v>5</x:v>
      </x:c>
      <x:c r="F18" t="n">
        <x:v>8900</x:v>
      </x:c>
      <x:c r="G18" t="n">
        <x:v>0</x:v>
      </x:c>
      <x:c r="H18" t="n">
        <x:v>44500</x:v>
      </x:c>
      <x:c r="I18" t="str">
        <x:v>Yaounde Central</x:v>
      </x:c>
      <x:c r="J18" t="str">
        <x:v>Wholesale</x:v>
      </x:c>
      <x:c r="K18" t="str">
        <x:v>Paid</x:v>
      </x:c>
    </x:row>
    <x:row r="19" ht="18" customHeight="1">
      <x:c r="A19" t="str">
        <x:v>SO00015</x:v>
      </x:c>
      <x:c r="B19" t="n">
        <x:v>46038</x:v>
      </x:c>
      <x:c r="C19" t="str">
        <x:v>CUS0015</x:v>
      </x:c>
      <x:c r="D19" t="str">
        <x:v>PRD015</x:v>
      </x:c>
      <x:c r="E19" t="n">
        <x:v>1</x:v>
      </x:c>
      <x:c r="F19" t="n">
        <x:v>9440</x:v>
      </x:c>
      <x:c r="G19" t="n">
        <x:v>0</x:v>
      </x:c>
      <x:c r="H19" t="n">
        <x:v>9440</x:v>
      </x:c>
      <x:c r="I19" t="str">
        <x:v>Buea Branch</x:v>
      </x:c>
      <x:c r="J19" t="str">
        <x:v>Corporate</x:v>
      </x:c>
      <x:c r="K19" t="str">
        <x:v>Paid</x:v>
      </x:c>
    </x:row>
    <x:row r="20" ht="18" customHeight="1">
      <x:c r="A20" t="str">
        <x:v>SO00016</x:v>
      </x:c>
      <x:c r="B20" t="n">
        <x:v>46039</x:v>
      </x:c>
      <x:c r="C20" t="str">
        <x:v>CUS0016</x:v>
      </x:c>
      <x:c r="D20" t="str">
        <x:v>PRD016</x:v>
      </x:c>
      <x:c r="E20" t="n">
        <x:v>2</x:v>
      </x:c>
      <x:c r="F20" t="str"/>
      <x:c r="G20" t="n">
        <x:v>0</x:v>
      </x:c>
      <x:c r="H20" t="n">
        <x:v>19960</x:v>
      </x:c>
      <x:c r="I20" t="str">
        <x:v>Bafoussam Branch</x:v>
      </x:c>
      <x:c r="J20" t="str">
        <x:v>Store</x:v>
      </x:c>
      <x:c r="K20" t="str">
        <x:v>Paid</x:v>
      </x:c>
    </x:row>
    <x:row r="21" ht="18" customHeight="1">
      <x:c r="A21" t="str">
        <x:v>SO00017</x:v>
      </x:c>
      <x:c r="B21" t="n">
        <x:v>46040</x:v>
      </x:c>
      <x:c r="C21" t="str">
        <x:v>CUS0017</x:v>
      </x:c>
      <x:c r="D21" t="str">
        <x:v>PRD017</x:v>
      </x:c>
      <x:c r="E21" t="n">
        <x:v>3</x:v>
      </x:c>
      <x:c r="F21" t="n">
        <x:v>10530</x:v>
      </x:c>
      <x:c r="G21" t="n">
        <x:v>0</x:v>
      </x:c>
      <x:c r="H21" t="n">
        <x:v>31590</x:v>
      </x:c>
      <x:c r="I21" t="str">
        <x:v>Douala Central</x:v>
      </x:c>
      <x:c r="J21" t="str">
        <x:v>Online</x:v>
      </x:c>
      <x:c r="K21" t="str">
        <x:v>Paid</x:v>
      </x:c>
    </x:row>
    <x:row r="22" ht="18" customHeight="1">
      <x:c r="A22" t="str">
        <x:v>SO00018</x:v>
      </x:c>
      <x:c r="B22" t="n">
        <x:v>46041</x:v>
      </x:c>
      <x:c r="C22" t="str">
        <x:v>CUS0018</x:v>
      </x:c>
      <x:c r="D22" t="str">
        <x:v>PRD018</x:v>
      </x:c>
      <x:c r="E22" t="n">
        <x:v>4</x:v>
      </x:c>
      <x:c r="F22" t="n">
        <x:v>11070</x:v>
      </x:c>
      <x:c r="G22" t="n">
        <x:v>0</x:v>
      </x:c>
      <x:c r="H22" t="n">
        <x:v>44280</x:v>
      </x:c>
      <x:c r="I22" t="str">
        <x:v>Yaounde Central</x:v>
      </x:c>
      <x:c r="J22" t="str">
        <x:v>Wholesale</x:v>
      </x:c>
      <x:c r="K22" t="str">
        <x:v>Paid</x:v>
      </x:c>
    </x:row>
    <x:row r="23" ht="18" customHeight="1">
      <x:c r="A23" t="str">
        <x:v>SO00019</x:v>
      </x:c>
      <x:c r="B23" t="n">
        <x:v>46042</x:v>
      </x:c>
      <x:c r="C23" t="str">
        <x:v>CUS0019</x:v>
      </x:c>
      <x:c r="D23" t="str">
        <x:v>PRD019</x:v>
      </x:c>
      <x:c r="E23" t="n">
        <x:v>5</x:v>
      </x:c>
      <x:c r="F23" t="n">
        <x:v>11620</x:v>
      </x:c>
      <x:c r="G23" t="n">
        <x:v>-100</x:v>
      </x:c>
      <x:c r="H23" t="n">
        <x:v>58100</x:v>
      </x:c>
      <x:c r="I23" t="str">
        <x:v>Buea Branch</x:v>
      </x:c>
      <x:c r="J23" t="str">
        <x:v>Corporate</x:v>
      </x:c>
      <x:c r="K23" t="str">
        <x:v>Paid</x:v>
      </x:c>
    </x:row>
    <x:row r="24" ht="18" customHeight="1">
      <x:c r="A24" t="str">
        <x:v>SO00020</x:v>
      </x:c>
      <x:c r="B24" t="n">
        <x:v>46043</x:v>
      </x:c>
      <x:c r="C24" t="str">
        <x:v>CUS0020</x:v>
      </x:c>
      <x:c r="D24" t="str">
        <x:v>PRD020</x:v>
      </x:c>
      <x:c r="E24" t="n">
        <x:v>1</x:v>
      </x:c>
      <x:c r="F24" t="n">
        <x:v>12160</x:v>
      </x:c>
      <x:c r="G24" t="n">
        <x:v>608</x:v>
      </x:c>
      <x:c r="H24" t="n">
        <x:v>11552</x:v>
      </x:c>
      <x:c r="I24" t="str">
        <x:v>Bafoussam Branch</x:v>
      </x:c>
      <x:c r="J24" t="str">
        <x:v>Store</x:v>
      </x:c>
      <x:c r="K24" t="str">
        <x:v>Paid</x:v>
      </x:c>
    </x:row>
    <x:row r="25" ht="18" customHeight="1">
      <x:c r="A25" t="str">
        <x:v>SO00021</x:v>
      </x:c>
      <x:c r="B25" t="n">
        <x:v>46044</x:v>
      </x:c>
      <x:c r="C25" t="str">
        <x:v>CUS0021</x:v>
      </x:c>
      <x:c r="D25" t="str">
        <x:v>PRD021</x:v>
      </x:c>
      <x:c r="E25" t="n">
        <x:v>2</x:v>
      </x:c>
      <x:c r="F25" t="n">
        <x:v>12700</x:v>
      </x:c>
      <x:c r="G25" t="n">
        <x:v>0</x:v>
      </x:c>
      <x:c r="H25" t="n">
        <x:v>25400</x:v>
      </x:c>
      <x:c r="I25" t="str">
        <x:v>Douala Central</x:v>
      </x:c>
      <x:c r="J25" t="str">
        <x:v>Online</x:v>
      </x:c>
      <x:c r="K25" t="str">
        <x:v>Paid</x:v>
      </x:c>
    </x:row>
    <x:row r="26" ht="18" customHeight="1">
      <x:c r="A26" t="str">
        <x:v>SO00022</x:v>
      </x:c>
      <x:c r="B26" t="n">
        <x:v>46045</x:v>
      </x:c>
      <x:c r="C26" t="str">
        <x:v>CUS0022</x:v>
      </x:c>
      <x:c r="D26" t="str">
        <x:v>PRD022</x:v>
      </x:c>
      <x:c r="E26" t="n">
        <x:v>3</x:v>
      </x:c>
      <x:c r="F26" t="n">
        <x:v>13250</x:v>
      </x:c>
      <x:c r="G26" t="n">
        <x:v>0</x:v>
      </x:c>
      <x:c r="H26" t="n">
        <x:v>39750</x:v>
      </x:c>
      <x:c r="I26" t="str">
        <x:v>Yaounde Central</x:v>
      </x:c>
      <x:c r="J26" t="str">
        <x:v>Wholesale</x:v>
      </x:c>
      <x:c r="K26" t="str">
        <x:v>Partial</x:v>
      </x:c>
    </x:row>
    <x:row r="27" ht="18" customHeight="1">
      <x:c r="A27" t="str">
        <x:v>SO00023</x:v>
      </x:c>
      <x:c r="B27" t="n">
        <x:v>46046</x:v>
      </x:c>
      <x:c r="C27" t="str">
        <x:v>CUS0023</x:v>
      </x:c>
      <x:c r="D27" t="str">
        <x:v>PRD023</x:v>
      </x:c>
      <x:c r="E27" t="n">
        <x:v>4</x:v>
      </x:c>
      <x:c r="F27" t="n">
        <x:v>13790</x:v>
      </x:c>
      <x:c r="G27" t="n">
        <x:v>0</x:v>
      </x:c>
      <x:c r="H27" t="n">
        <x:v>999999</x:v>
      </x:c>
      <x:c r="I27" t="str">
        <x:v>Buea Branch</x:v>
      </x:c>
      <x:c r="J27" t="str">
        <x:v>Corporate</x:v>
      </x:c>
      <x:c r="K27" t="str">
        <x:v>Paid</x:v>
      </x:c>
    </x:row>
    <x:row r="28" ht="18" customHeight="1">
      <x:c r="A28" t="str">
        <x:v>SO00024</x:v>
      </x:c>
      <x:c r="B28" t="n">
        <x:v>46047</x:v>
      </x:c>
      <x:c r="C28" t="str">
        <x:v>CUS0024</x:v>
      </x:c>
      <x:c r="D28" t="str">
        <x:v>PRD024</x:v>
      </x:c>
      <x:c r="E28" t="n">
        <x:v>5</x:v>
      </x:c>
      <x:c r="F28" t="n">
        <x:v>14340</x:v>
      </x:c>
      <x:c r="G28" t="n">
        <x:v>0</x:v>
      </x:c>
      <x:c r="H28" t="n">
        <x:v>71700</x:v>
      </x:c>
      <x:c r="I28" t="str">
        <x:v>Bafoussam Branch</x:v>
      </x:c>
      <x:c r="J28" t="str">
        <x:v>Store</x:v>
      </x:c>
      <x:c r="K28" t="str">
        <x:v>Paid</x:v>
      </x:c>
    </x:row>
    <x:row r="29" ht="18" customHeight="1">
      <x:c r="A29" t="str">
        <x:v>SO00025</x:v>
      </x:c>
      <x:c r="B29" t="n">
        <x:v>46048</x:v>
      </x:c>
      <x:c r="C29" t="str">
        <x:v>CUS0025</x:v>
      </x:c>
      <x:c r="D29" t="str">
        <x:v>PRD025</x:v>
      </x:c>
      <x:c r="E29" t="n">
        <x:v>1</x:v>
      </x:c>
      <x:c r="F29" t="n">
        <x:v>14880</x:v>
      </x:c>
      <x:c r="G29" t="n">
        <x:v>0</x:v>
      </x:c>
      <x:c r="H29" t="n">
        <x:v>14880</x:v>
      </x:c>
      <x:c r="I29" t="str">
        <x:v>Douala Central</x:v>
      </x:c>
      <x:c r="J29" t="str">
        <x:v>Online</x:v>
      </x:c>
      <x:c r="K29" t="str">
        <x:v>Paid</x:v>
      </x:c>
    </x:row>
    <x:row r="30" ht="18" customHeight="1">
      <x:c r="A30" t="str">
        <x:v>SO00026</x:v>
      </x:c>
      <x:c r="B30" t="n">
        <x:v>46049</x:v>
      </x:c>
      <x:c r="C30" t="str">
        <x:v>CUS0026</x:v>
      </x:c>
      <x:c r="D30" t="str">
        <x:v>PRD026</x:v>
      </x:c>
      <x:c r="E30" t="n">
        <x:v>2</x:v>
      </x:c>
      <x:c r="F30" t="n">
        <x:v>15420</x:v>
      </x:c>
      <x:c r="G30" t="n">
        <x:v>0</x:v>
      </x:c>
      <x:c r="H30" t="n">
        <x:v>30840</x:v>
      </x:c>
      <x:c r="I30" t="str">
        <x:v>Yaounde Central</x:v>
      </x:c>
      <x:c r="J30" t="str">
        <x:v>Wholesale</x:v>
      </x:c>
      <x:c r="K30" t="str">
        <x:v>Paid</x:v>
      </x:c>
    </x:row>
    <x:row r="31" ht="18" customHeight="1">
      <x:c r="A31" t="str">
        <x:v>SO00027</x:v>
      </x:c>
      <x:c r="B31" t="n">
        <x:v>46050</x:v>
      </x:c>
      <x:c r="C31" t="str">
        <x:v>CUS0027</x:v>
      </x:c>
      <x:c r="D31" t="str">
        <x:v>PRD027</x:v>
      </x:c>
      <x:c r="E31" t="n">
        <x:v>3</x:v>
      </x:c>
      <x:c r="F31" t="n">
        <x:v>15970</x:v>
      </x:c>
      <x:c r="G31" t="n">
        <x:v>0</x:v>
      </x:c>
      <x:c r="H31" t="n">
        <x:v>47910</x:v>
      </x:c>
      <x:c r="I31" t="str">
        <x:v>Buea Branch</x:v>
      </x:c>
      <x:c r="J31" t="str">
        <x:v>Corporate</x:v>
      </x:c>
      <x:c r="K31" t="str">
        <x:v>Paid</x:v>
      </x:c>
    </x:row>
    <x:row r="32" ht="18" customHeight="1">
      <x:c r="A32" t="str">
        <x:v>SO00028</x:v>
      </x:c>
      <x:c r="B32" t="n">
        <x:v>46051</x:v>
      </x:c>
      <x:c r="C32" t="str">
        <x:v>CUS0028</x:v>
      </x:c>
      <x:c r="D32" t="str">
        <x:v>PRD028</x:v>
      </x:c>
      <x:c r="E32" t="n">
        <x:v>4</x:v>
      </x:c>
      <x:c r="F32" t="n">
        <x:v>16510</x:v>
      </x:c>
      <x:c r="G32" t="n">
        <x:v>0</x:v>
      </x:c>
      <x:c r="H32" t="n">
        <x:v>66040</x:v>
      </x:c>
      <x:c r="I32" t="str">
        <x:v>Douala central</x:v>
      </x:c>
      <x:c r="J32" t="str">
        <x:v>Store</x:v>
      </x:c>
      <x:c r="K32" t="str">
        <x:v>Paid</x:v>
      </x:c>
    </x:row>
    <x:row r="33" ht="18" customHeight="1">
      <x:c r="A33" t="str">
        <x:v>SO00029</x:v>
      </x:c>
      <x:c r="B33" t="n">
        <x:v>46052</x:v>
      </x:c>
      <x:c r="C33" t="str">
        <x:v>CUS0029</x:v>
      </x:c>
      <x:c r="D33" t="str">
        <x:v>PRD029</x:v>
      </x:c>
      <x:c r="E33" t="n">
        <x:v>5</x:v>
      </x:c>
      <x:c r="F33" t="n">
        <x:v>17060</x:v>
      </x:c>
      <x:c r="G33" t="n">
        <x:v>0</x:v>
      </x:c>
      <x:c r="H33" t="n">
        <x:v>85300</x:v>
      </x:c>
      <x:c r="I33" t="str">
        <x:v>Douala Central</x:v>
      </x:c>
      <x:c r="J33" t="str">
        <x:v>Online</x:v>
      </x:c>
      <x:c r="K33" t="str">
        <x:v>Paid</x:v>
      </x:c>
    </x:row>
    <x:row r="34" ht="18" customHeight="1">
      <x:c r="A34" t="str">
        <x:v>SO00030</x:v>
      </x:c>
      <x:c r="B34" t="n">
        <x:v>46053</x:v>
      </x:c>
      <x:c r="C34" t="str">
        <x:v>CUS0030</x:v>
      </x:c>
      <x:c r="D34" t="str">
        <x:v>PRD030</x:v>
      </x:c>
      <x:c r="E34" t="n">
        <x:v>1</x:v>
      </x:c>
      <x:c r="F34" t="n">
        <x:v>17600</x:v>
      </x:c>
      <x:c r="G34" t="n">
        <x:v>880</x:v>
      </x:c>
      <x:c r="H34" t="n">
        <x:v>16720</x:v>
      </x:c>
      <x:c r="I34" t="str">
        <x:v>Yaounde Central</x:v>
      </x:c>
      <x:c r="J34" t="str">
        <x:v>Wholesale</x:v>
      </x:c>
      <x:c r="K34" t="str">
        <x:v>Paid</x:v>
      </x:c>
    </x:row>
    <x:row r="35" ht="18" customHeight="1">
      <x:c r="A35" t="str">
        <x:v>SO00031</x:v>
      </x:c>
      <x:c r="B35" t="n">
        <x:v>46054</x:v>
      </x:c>
      <x:c r="C35" t="str">
        <x:v>CUS0031</x:v>
      </x:c>
      <x:c r="D35" t="str">
        <x:v>PRD001</x:v>
      </x:c>
      <x:c r="E35" t="n">
        <x:v>2</x:v>
      </x:c>
      <x:c r="F35" t="n">
        <x:v>1820</x:v>
      </x:c>
      <x:c r="G35" t="n">
        <x:v>0</x:v>
      </x:c>
      <x:c r="H35" t="n">
        <x:v>3640</x:v>
      </x:c>
      <x:c r="I35" t="str">
        <x:v>Buea Branch</x:v>
      </x:c>
      <x:c r="J35" t="str">
        <x:v>online </x:v>
      </x:c>
      <x:c r="K35" t="str">
        <x:v>Paid</x:v>
      </x:c>
    </x:row>
    <x:row r="36" ht="18" customHeight="1">
      <x:c r="A36" t="str">
        <x:v>SO00032</x:v>
      </x:c>
      <x:c r="B36" t="n">
        <x:v>46055</x:v>
      </x:c>
      <x:c r="C36" t="str">
        <x:v>CUS0032</x:v>
      </x:c>
      <x:c r="D36" t="str">
        <x:v>PRD002</x:v>
      </x:c>
      <x:c r="E36" t="n">
        <x:v>3</x:v>
      </x:c>
      <x:c r="F36" t="n">
        <x:v>2370</x:v>
      </x:c>
      <x:c r="G36" t="n">
        <x:v>0</x:v>
      </x:c>
      <x:c r="H36" t="n">
        <x:v>7110</x:v>
      </x:c>
      <x:c r="I36" t="str">
        <x:v>Bafoussam Branch</x:v>
      </x:c>
      <x:c r="J36" t="str">
        <x:v>Store</x:v>
      </x:c>
      <x:c r="K36" t="str">
        <x:v>Paid</x:v>
      </x:c>
    </x:row>
    <x:row r="37" ht="18" customHeight="1">
      <x:c r="A37" t="str">
        <x:v>SO00033</x:v>
      </x:c>
      <x:c r="B37" t="n">
        <x:v>46056</x:v>
      </x:c>
      <x:c r="C37" t="str">
        <x:v>CUS0033</x:v>
      </x:c>
      <x:c r="D37" t="str">
        <x:v>PRD003</x:v>
      </x:c>
      <x:c r="E37" t="n">
        <x:v>4</x:v>
      </x:c>
      <x:c r="F37" t="n">
        <x:v>2910</x:v>
      </x:c>
      <x:c r="G37" t="n">
        <x:v>0</x:v>
      </x:c>
      <x:c r="H37" t="n">
        <x:v>11640</x:v>
      </x:c>
      <x:c r="I37" t="str">
        <x:v>Douala Central</x:v>
      </x:c>
      <x:c r="J37" t="str">
        <x:v>Online</x:v>
      </x:c>
      <x:c r="K37" t="str">
        <x:v>Partial</x:v>
      </x:c>
    </x:row>
    <x:row r="38" ht="18" customHeight="1">
      <x:c r="A38" t="str">
        <x:v>SO00034</x:v>
      </x:c>
      <x:c r="B38" t="n">
        <x:v>46057</x:v>
      </x:c>
      <x:c r="C38" t="str">
        <x:v>CUS0034</x:v>
      </x:c>
      <x:c r="D38" t="str">
        <x:v>PRD004</x:v>
      </x:c>
      <x:c r="E38" t="n">
        <x:v>5</x:v>
      </x:c>
      <x:c r="F38" t="n">
        <x:v>3460</x:v>
      </x:c>
      <x:c r="G38" t="n">
        <x:v>0</x:v>
      </x:c>
      <x:c r="H38" t="n">
        <x:v>17300</x:v>
      </x:c>
      <x:c r="I38" t="str">
        <x:v>Yaounde Central</x:v>
      </x:c>
      <x:c r="J38" t="str">
        <x:v>Wholesale</x:v>
      </x:c>
      <x:c r="K38" t="str">
        <x:v>Paid</x:v>
      </x:c>
    </x:row>
    <x:row r="39" ht="18" customHeight="1">
      <x:c r="A39" t="str">
        <x:v>SO00035</x:v>
      </x:c>
      <x:c r="B39" t="n">
        <x:v>46058</x:v>
      </x:c>
      <x:c r="C39" t="str">
        <x:v>CUS0035</x:v>
      </x:c>
      <x:c r="D39" t="str">
        <x:v>PRD005</x:v>
      </x:c>
      <x:c r="E39" t="n">
        <x:v>1</x:v>
      </x:c>
      <x:c r="F39" t="n">
        <x:v>4000</x:v>
      </x:c>
      <x:c r="G39" t="n">
        <x:v>0</x:v>
      </x:c>
      <x:c r="H39" t="n">
        <x:v>4000</x:v>
      </x:c>
      <x:c r="I39" t="str">
        <x:v>Buea Branch</x:v>
      </x:c>
      <x:c r="J39" t="str">
        <x:v>Corporate</x:v>
      </x:c>
      <x:c r="K39" t="str">
        <x:v>paid </x:v>
      </x:c>
    </x:row>
    <x:row r="40" ht="18" customHeight="1">
      <x:c r="A40" t="str">
        <x:v>SO00036</x:v>
      </x:c>
      <x:c r="B40" t="n">
        <x:v>46059</x:v>
      </x:c>
      <x:c r="C40" t="str">
        <x:v>CUS0036</x:v>
      </x:c>
      <x:c r="D40" t="str">
        <x:v>PRD006</x:v>
      </x:c>
      <x:c r="E40" t="n">
        <x:v>2</x:v>
      </x:c>
      <x:c r="F40" t="n">
        <x:v>4540</x:v>
      </x:c>
      <x:c r="G40" t="n">
        <x:v>0</x:v>
      </x:c>
      <x:c r="H40" t="n">
        <x:v>9080</x:v>
      </x:c>
      <x:c r="I40" t="str">
        <x:v>Bafoussam Branch</x:v>
      </x:c>
      <x:c r="J40" t="str">
        <x:v>Store</x:v>
      </x:c>
      <x:c r="K40" t="str">
        <x:v>Paid</x:v>
      </x:c>
    </x:row>
    <x:row r="41" ht="18" customHeight="1">
      <x:c r="A41" t="str">
        <x:v>SO00037</x:v>
      </x:c>
      <x:c r="B41" t="n">
        <x:v>46060</x:v>
      </x:c>
      <x:c r="C41" t="str">
        <x:v>CUS0037</x:v>
      </x:c>
      <x:c r="D41" t="str">
        <x:v>PRD007</x:v>
      </x:c>
      <x:c r="E41" t="n">
        <x:v>3</x:v>
      </x:c>
      <x:c r="F41" t="n">
        <x:v>5090</x:v>
      </x:c>
      <x:c r="G41" t="n">
        <x:v>0</x:v>
      </x:c>
      <x:c r="H41" t="n">
        <x:v>15270</x:v>
      </x:c>
      <x:c r="I41" t="str">
        <x:v>Douala Central</x:v>
      </x:c>
      <x:c r="J41" t="str">
        <x:v>Online</x:v>
      </x:c>
      <x:c r="K41" t="str">
        <x:v>Paid</x:v>
      </x:c>
    </x:row>
    <x:row r="42" ht="18" customHeight="1">
      <x:c r="A42" t="str">
        <x:v>SO00038</x:v>
      </x:c>
      <x:c r="B42" t="n">
        <x:v>46061</x:v>
      </x:c>
      <x:c r="C42" t="str">
        <x:v>CUS0038</x:v>
      </x:c>
      <x:c r="D42" t="str">
        <x:v>PRD008</x:v>
      </x:c>
      <x:c r="E42" t="n">
        <x:v>4</x:v>
      </x:c>
      <x:c r="F42" t="n">
        <x:v>5630</x:v>
      </x:c>
      <x:c r="G42" t="n">
        <x:v>0</x:v>
      </x:c>
      <x:c r="H42" t="n">
        <x:v>22520</x:v>
      </x:c>
      <x:c r="I42" t="str">
        <x:v>Yaounde Central</x:v>
      </x:c>
      <x:c r="J42" t="str">
        <x:v>Wholesale</x:v>
      </x:c>
      <x:c r="K42" t="str">
        <x:v>Paid</x:v>
      </x:c>
    </x:row>
    <x:row r="43" ht="18" customHeight="1">
      <x:c r="A43" t="str">
        <x:v>SO00039</x:v>
      </x:c>
      <x:c r="B43" t="n">
        <x:v>46062</x:v>
      </x:c>
      <x:c r="C43" t="str">
        <x:v>CUS0039</x:v>
      </x:c>
      <x:c r="D43" t="str">
        <x:v>PRD009</x:v>
      </x:c>
      <x:c r="E43" t="n">
        <x:v>5</x:v>
      </x:c>
      <x:c r="F43" t="n">
        <x:v>6180</x:v>
      </x:c>
      <x:c r="G43" t="n">
        <x:v>0</x:v>
      </x:c>
      <x:c r="H43" t="n">
        <x:v>30900</x:v>
      </x:c>
      <x:c r="I43" t="str">
        <x:v>Buea Branch</x:v>
      </x:c>
      <x:c r="J43" t="str">
        <x:v>Corporate</x:v>
      </x:c>
      <x:c r="K43" t="str">
        <x:v>Paid</x:v>
      </x:c>
    </x:row>
    <x:row r="44" ht="18" customHeight="1">
      <x:c r="A44" t="str">
        <x:v>SO00040</x:v>
      </x:c>
      <x:c r="B44" t="str">
        <x:v>31/02/2026</x:v>
      </x:c>
      <x:c r="C44" t="str">
        <x:v>CUS0040</x:v>
      </x:c>
      <x:c r="D44" t="str">
        <x:v>PRD010</x:v>
      </x:c>
      <x:c r="E44" t="n">
        <x:v>1</x:v>
      </x:c>
      <x:c r="F44" t="n">
        <x:v>6720</x:v>
      </x:c>
      <x:c r="G44" t="n">
        <x:v>336</x:v>
      </x:c>
      <x:c r="H44" t="n">
        <x:v>6384</x:v>
      </x:c>
      <x:c r="I44" t="str">
        <x:v>Bafoussam Branch</x:v>
      </x:c>
      <x:c r="J44" t="str">
        <x:v>Store</x:v>
      </x:c>
      <x:c r="K44" t="str">
        <x:v>Paid</x:v>
      </x:c>
    </x:row>
    <x:row r="45" ht="18" customHeight="1">
      <x:c r="A45" t="str">
        <x:v>SO00041</x:v>
      </x:c>
      <x:c r="B45" t="n">
        <x:v>46064</x:v>
      </x:c>
      <x:c r="C45" t="str">
        <x:v>CUS0041</x:v>
      </x:c>
      <x:c r="D45" t="str">
        <x:v>PRD011</x:v>
      </x:c>
      <x:c r="E45" t="n">
        <x:v>2</x:v>
      </x:c>
      <x:c r="F45" t="n">
        <x:v>7260</x:v>
      </x:c>
      <x:c r="G45" t="n">
        <x:v>0</x:v>
      </x:c>
      <x:c r="H45" t="n">
        <x:v>14520</x:v>
      </x:c>
      <x:c r="I45" t="str">
        <x:v>Douala Central</x:v>
      </x:c>
      <x:c r="J45" t="str">
        <x:v>Online</x:v>
      </x:c>
      <x:c r="K45" t="str">
        <x:v>Paid</x:v>
      </x:c>
    </x:row>
    <x:row r="46" ht="18" customHeight="1">
      <x:c r="A46" t="str">
        <x:v>SO00042</x:v>
      </x:c>
      <x:c r="B46" t="n">
        <x:v>46065</x:v>
      </x:c>
      <x:c r="C46" t="str">
        <x:v>CUS0042</x:v>
      </x:c>
      <x:c r="D46" t="str">
        <x:v>PRD012</x:v>
      </x:c>
      <x:c r="E46" t="n">
        <x:v>3</x:v>
      </x:c>
      <x:c r="F46" t="n">
        <x:v>7810</x:v>
      </x:c>
      <x:c r="G46" t="n">
        <x:v>0</x:v>
      </x:c>
      <x:c r="H46" t="n">
        <x:v>23430</x:v>
      </x:c>
      <x:c r="I46" t="str">
        <x:v>Yaounde Central</x:v>
      </x:c>
      <x:c r="J46" t="str">
        <x:v>Wholesale</x:v>
      </x:c>
      <x:c r="K46" t="str">
        <x:v>Paid</x:v>
      </x:c>
    </x:row>
    <x:row r="47" ht="18" customHeight="1">
      <x:c r="A47" t="str">
        <x:v>SO00043</x:v>
      </x:c>
      <x:c r="B47" t="n">
        <x:v>46066</x:v>
      </x:c>
      <x:c r="C47" t="str">
        <x:v>CUS0043</x:v>
      </x:c>
      <x:c r="D47" t="str">
        <x:v>PRD013</x:v>
      </x:c>
      <x:c r="E47" t="n">
        <x:v>4</x:v>
      </x:c>
      <x:c r="F47" t="n">
        <x:v>8350</x:v>
      </x:c>
      <x:c r="G47" t="n">
        <x:v>0</x:v>
      </x:c>
      <x:c r="H47" t="n">
        <x:v>33400</x:v>
      </x:c>
      <x:c r="I47" t="str">
        <x:v>Buea Branch</x:v>
      </x:c>
      <x:c r="J47" t="str">
        <x:v>Corporate</x:v>
      </x:c>
      <x:c r="K47" t="str">
        <x:v>Paid</x:v>
      </x:c>
    </x:row>
    <x:row r="48" ht="18" customHeight="1">
      <x:c r="A48" t="str">
        <x:v>SO00044</x:v>
      </x:c>
      <x:c r="B48" t="n">
        <x:v>46067</x:v>
      </x:c>
      <x:c r="C48" t="str">
        <x:v>CUS0044</x:v>
      </x:c>
      <x:c r="D48" t="str">
        <x:v>PRD014</x:v>
      </x:c>
      <x:c r="E48" t="n">
        <x:v>5</x:v>
      </x:c>
      <x:c r="F48" t="n">
        <x:v>8900</x:v>
      </x:c>
      <x:c r="G48" t="n">
        <x:v>0</x:v>
      </x:c>
      <x:c r="H48" t="n">
        <x:v>44500</x:v>
      </x:c>
      <x:c r="I48" t="str">
        <x:v>Bafoussam Branch</x:v>
      </x:c>
      <x:c r="J48" t="str">
        <x:v>Store</x:v>
      </x:c>
      <x:c r="K48" t="str">
        <x:v>Partial</x:v>
      </x:c>
    </x:row>
    <x:row r="49" ht="18" customHeight="1">
      <x:c r="A49" t="str">
        <x:v>SO00045</x:v>
      </x:c>
      <x:c r="B49" t="n">
        <x:v>46068</x:v>
      </x:c>
      <x:c r="C49" t="str">
        <x:v>CUS0045</x:v>
      </x:c>
      <x:c r="D49" t="str">
        <x:v>PRD015</x:v>
      </x:c>
      <x:c r="E49" t="n">
        <x:v>1</x:v>
      </x:c>
      <x:c r="F49" t="n">
        <x:v>9440</x:v>
      </x:c>
      <x:c r="G49" t="n">
        <x:v>0</x:v>
      </x:c>
      <x:c r="H49" t="n">
        <x:v>9440</x:v>
      </x:c>
      <x:c r="I49" t="str">
        <x:v>Douala Central</x:v>
      </x:c>
      <x:c r="J49" t="str">
        <x:v>Online</x:v>
      </x:c>
      <x:c r="K49" t="str">
        <x:v>Paid</x:v>
      </x:c>
    </x:row>
    <x:row r="50" ht="18" customHeight="1">
      <x:c r="A50" t="str">
        <x:v>SO00046</x:v>
      </x:c>
      <x:c r="B50" t="n">
        <x:v>46069</x:v>
      </x:c>
      <x:c r="C50" t="str">
        <x:v>CUS9999</x:v>
      </x:c>
      <x:c r="D50" t="str">
        <x:v>PRD016</x:v>
      </x:c>
      <x:c r="E50" t="n">
        <x:v>2</x:v>
      </x:c>
      <x:c r="F50" t="n">
        <x:v>9980</x:v>
      </x:c>
      <x:c r="G50" t="n">
        <x:v>0</x:v>
      </x:c>
      <x:c r="H50" t="n">
        <x:v>19960</x:v>
      </x:c>
      <x:c r="I50" t="str">
        <x:v>Yaounde Central</x:v>
      </x:c>
      <x:c r="J50" t="str">
        <x:v>Wholesale</x:v>
      </x:c>
      <x:c r="K50" t="str">
        <x:v>Paid</x:v>
      </x:c>
    </x:row>
    <x:row r="51" ht="18" customHeight="1">
      <x:c r="A51" t="str">
        <x:v>SO00047</x:v>
      </x:c>
      <x:c r="B51" t="n">
        <x:v>46070</x:v>
      </x:c>
      <x:c r="C51" t="str">
        <x:v>CUS0047</x:v>
      </x:c>
      <x:c r="D51" t="str">
        <x:v>PRD017</x:v>
      </x:c>
      <x:c r="E51" t="n">
        <x:v>3</x:v>
      </x:c>
      <x:c r="F51" t="n">
        <x:v>10530</x:v>
      </x:c>
      <x:c r="G51" t="n">
        <x:v>0</x:v>
      </x:c>
      <x:c r="H51" t="n">
        <x:v>31590</x:v>
      </x:c>
      <x:c r="I51" t="str">
        <x:v>Buea Branch</x:v>
      </x:c>
      <x:c r="J51" t="str">
        <x:v>Corporate</x:v>
      </x:c>
      <x:c r="K51" t="str">
        <x:v>Paid</x:v>
      </x:c>
    </x:row>
    <x:row r="52" ht="18" customHeight="1">
      <x:c r="A52" t="str">
        <x:v>SO00048</x:v>
      </x:c>
      <x:c r="B52" t="n">
        <x:v>46071</x:v>
      </x:c>
      <x:c r="C52" t="str">
        <x:v>CUS0048</x:v>
      </x:c>
      <x:c r="D52" t="str">
        <x:v>PRD018</x:v>
      </x:c>
      <x:c r="E52" t="n">
        <x:v>4</x:v>
      </x:c>
      <x:c r="F52" t="n">
        <x:v>11070</x:v>
      </x:c>
      <x:c r="G52" t="n">
        <x:v>0</x:v>
      </x:c>
      <x:c r="H52" t="n">
        <x:v>44280</x:v>
      </x:c>
      <x:c r="I52" t="str">
        <x:v>Bafoussam Branch</x:v>
      </x:c>
      <x:c r="J52" t="str">
        <x:v>Store</x:v>
      </x:c>
      <x:c r="K52" t="str">
        <x:v>Paid</x:v>
      </x:c>
    </x:row>
    <x:row r="53" ht="18" customHeight="1">
      <x:c r="A53" t="str">
        <x:v>SO00049</x:v>
      </x:c>
      <x:c r="B53" t="n">
        <x:v>46072</x:v>
      </x:c>
      <x:c r="C53" t="str">
        <x:v>CUS0049</x:v>
      </x:c>
      <x:c r="D53" t="str">
        <x:v>PRD019</x:v>
      </x:c>
      <x:c r="E53" t="n">
        <x:v>5</x:v>
      </x:c>
      <x:c r="F53" t="n">
        <x:v>11620</x:v>
      </x:c>
      <x:c r="G53" t="n">
        <x:v>0</x:v>
      </x:c>
      <x:c r="H53" t="n">
        <x:v>58100</x:v>
      </x:c>
      <x:c r="I53" t="str">
        <x:v>Douala Central</x:v>
      </x:c>
      <x:c r="J53" t="str">
        <x:v>Online</x:v>
      </x:c>
      <x:c r="K53" t="str">
        <x:v>Paid</x:v>
      </x:c>
    </x:row>
    <x:row r="54" ht="18" customHeight="1">
      <x:c r="A54" t="str">
        <x:v>SO00050</x:v>
      </x:c>
      <x:c r="B54" t="n">
        <x:v>46073</x:v>
      </x:c>
      <x:c r="C54" t="str">
        <x:v>CUS0050</x:v>
      </x:c>
      <x:c r="D54" t="str">
        <x:v>PRD020</x:v>
      </x:c>
      <x:c r="E54" t="n">
        <x:v>1</x:v>
      </x:c>
      <x:c r="F54" t="n">
        <x:v>12160</x:v>
      </x:c>
      <x:c r="G54" t="n">
        <x:v>608</x:v>
      </x:c>
      <x:c r="H54" t="n">
        <x:v>11552</x:v>
      </x:c>
      <x:c r="I54" t="str">
        <x:v>Yaounde Central</x:v>
      </x:c>
      <x:c r="J54" t="str">
        <x:v>Wholesale</x:v>
      </x:c>
      <x:c r="K54" t="str">
        <x:v>Paid</x:v>
      </x:c>
    </x:row>
    <x:row r="55" ht="18" customHeight="1">
      <x:c r="A55" t="str">
        <x:v>SO00051</x:v>
      </x:c>
      <x:c r="B55" t="n">
        <x:v>46074</x:v>
      </x:c>
      <x:c r="C55" t="str">
        <x:v>CUS0051</x:v>
      </x:c>
      <x:c r="D55" t="str">
        <x:v>PRD021</x:v>
      </x:c>
      <x:c r="E55" t="n">
        <x:v>2</x:v>
      </x:c>
      <x:c r="F55" t="n">
        <x:v>12700</x:v>
      </x:c>
      <x:c r="G55" t="n">
        <x:v>0</x:v>
      </x:c>
      <x:c r="H55" t="n">
        <x:v>25400</x:v>
      </x:c>
      <x:c r="I55" t="str">
        <x:v>Buea Branch</x:v>
      </x:c>
      <x:c r="J55" t="str">
        <x:v>Corporate</x:v>
      </x:c>
      <x:c r="K55" t="str">
        <x:v>Paid</x:v>
      </x:c>
    </x:row>
    <x:row r="56" ht="18" customHeight="1">
      <x:c r="A56" t="str">
        <x:v>SO00052</x:v>
      </x:c>
      <x:c r="B56" t="n">
        <x:v>46075</x:v>
      </x:c>
      <x:c r="C56" t="str">
        <x:v>CUS0052</x:v>
      </x:c>
      <x:c r="D56" t="str">
        <x:v>PRD022</x:v>
      </x:c>
      <x:c r="E56" t="n">
        <x:v>3</x:v>
      </x:c>
      <x:c r="F56" t="n">
        <x:v>13250</x:v>
      </x:c>
      <x:c r="G56" t="n">
        <x:v>0</x:v>
      </x:c>
      <x:c r="H56" t="n">
        <x:v>39750</x:v>
      </x:c>
      <x:c r="I56" t="str">
        <x:v>Bafoussam Branch</x:v>
      </x:c>
      <x:c r="J56" t="str">
        <x:v>Store</x:v>
      </x:c>
      <x:c r="K56" t="str">
        <x:v>Paid</x:v>
      </x:c>
    </x:row>
    <x:row r="57" ht="18" customHeight="1">
      <x:c r="A57" t="str">
        <x:v>SO00053</x:v>
      </x:c>
      <x:c r="B57" t="n">
        <x:v>46076</x:v>
      </x:c>
      <x:c r="C57" t="str">
        <x:v>CUS0053</x:v>
      </x:c>
      <x:c r="D57" t="str">
        <x:v>PRD023</x:v>
      </x:c>
      <x:c r="E57" t="n">
        <x:v>4</x:v>
      </x:c>
      <x:c r="F57" t="n">
        <x:v>13790</x:v>
      </x:c>
      <x:c r="G57" t="n">
        <x:v>0</x:v>
      </x:c>
      <x:c r="H57" t="n">
        <x:v>55160</x:v>
      </x:c>
      <x:c r="I57" t="str">
        <x:v>Douala Central</x:v>
      </x:c>
      <x:c r="J57" t="str">
        <x:v>Online</x:v>
      </x:c>
      <x:c r="K57" t="str">
        <x:v>Paid</x:v>
      </x:c>
    </x:row>
    <x:row r="58" ht="18" customHeight="1">
      <x:c r="A58" t="str">
        <x:v>SO00054</x:v>
      </x:c>
      <x:c r="B58" t="n">
        <x:v>46077</x:v>
      </x:c>
      <x:c r="C58" t="str">
        <x:v>CUS0054</x:v>
      </x:c>
      <x:c r="D58" t="str">
        <x:v>PRD024</x:v>
      </x:c>
      <x:c r="E58" t="n">
        <x:v>5</x:v>
      </x:c>
      <x:c r="F58" t="n">
        <x:v>14340</x:v>
      </x:c>
      <x:c r="G58" t="n">
        <x:v>0</x:v>
      </x:c>
      <x:c r="H58" t="n">
        <x:v>71700</x:v>
      </x:c>
      <x:c r="I58" t="str">
        <x:v>Yaounde Central</x:v>
      </x:c>
      <x:c r="J58" t="str">
        <x:v>Wholesale</x:v>
      </x:c>
      <x:c r="K58" t="str">
        <x:v>Paid</x:v>
      </x:c>
    </x:row>
    <x:row r="59" ht="18" customHeight="1">
      <x:c r="A59" t="str">
        <x:v>SO00055</x:v>
      </x:c>
      <x:c r="B59" t="n">
        <x:v>46078</x:v>
      </x:c>
      <x:c r="C59" t="str">
        <x:v>CUS0055</x:v>
      </x:c>
      <x:c r="D59" t="str">
        <x:v>PRD025</x:v>
      </x:c>
      <x:c r="E59" t="n">
        <x:v>1</x:v>
      </x:c>
      <x:c r="F59" t="n">
        <x:v>14880</x:v>
      </x:c>
      <x:c r="G59" t="n">
        <x:v>0</x:v>
      </x:c>
      <x:c r="H59" t="n">
        <x:v>14880</x:v>
      </x:c>
      <x:c r="I59" t="str">
        <x:v>Buea Branch</x:v>
      </x:c>
      <x:c r="J59" t="str">
        <x:v>Corporate</x:v>
      </x:c>
      <x:c r="K59" t="str">
        <x:v>Partial</x:v>
      </x:c>
    </x:row>
    <x:row r="60" ht="18" customHeight="1">
      <x:c r="A60" t="str">
        <x:v>SO00056</x:v>
      </x:c>
      <x:c r="B60" t="n">
        <x:v>46079</x:v>
      </x:c>
      <x:c r="C60" t="str">
        <x:v>CUS0056</x:v>
      </x:c>
      <x:c r="D60" t="str">
        <x:v>PRD026</x:v>
      </x:c>
      <x:c r="E60" t="n">
        <x:v>2</x:v>
      </x:c>
      <x:c r="F60" t="n">
        <x:v>15420</x:v>
      </x:c>
      <x:c r="G60" t="n">
        <x:v>0</x:v>
      </x:c>
      <x:c r="H60" t="n">
        <x:v>30840</x:v>
      </x:c>
      <x:c r="I60" t="str">
        <x:v>Bafoussam Branch</x:v>
      </x:c>
      <x:c r="J60" t="str">
        <x:v>Store</x:v>
      </x:c>
      <x:c r="K60" t="str">
        <x:v>Paid</x:v>
      </x:c>
    </x:row>
    <x:row r="61" ht="18" customHeight="1">
      <x:c r="A61" t="str">
        <x:v>SO00057</x:v>
      </x:c>
      <x:c r="B61" t="n">
        <x:v>46080</x:v>
      </x:c>
      <x:c r="C61" t="str">
        <x:v>CUS0057</x:v>
      </x:c>
      <x:c r="D61" t="str">
        <x:v>PRD027</x:v>
      </x:c>
      <x:c r="E61" t="n">
        <x:v>3</x:v>
      </x:c>
      <x:c r="F61" t="n">
        <x:v>15970</x:v>
      </x:c>
      <x:c r="G61" t="n">
        <x:v>0</x:v>
      </x:c>
      <x:c r="H61" t="n">
        <x:v>47910</x:v>
      </x:c>
      <x:c r="I61" t="str">
        <x:v>Douala Central</x:v>
      </x:c>
      <x:c r="J61" t="str">
        <x:v>Online</x:v>
      </x:c>
      <x:c r="K61" t="str">
        <x:v>Paid</x:v>
      </x:c>
    </x:row>
    <x:row r="62" ht="18" customHeight="1">
      <x:c r="A62" t="str">
        <x:v>SO00058</x:v>
      </x:c>
      <x:c r="B62" t="n">
        <x:v>46081</x:v>
      </x:c>
      <x:c r="C62" t="str">
        <x:v>CUS0058</x:v>
      </x:c>
      <x:c r="D62" t="str">
        <x:v>PRD028</x:v>
      </x:c>
      <x:c r="E62" t="n">
        <x:v>4</x:v>
      </x:c>
      <x:c r="F62" t="n">
        <x:v>16510</x:v>
      </x:c>
      <x:c r="G62" t="n">
        <x:v>0</x:v>
      </x:c>
      <x:c r="H62" t="n">
        <x:v>66040</x:v>
      </x:c>
      <x:c r="I62" t="str">
        <x:v>Yaounde Central</x:v>
      </x:c>
      <x:c r="J62" t="str">
        <x:v>Wholesale</x:v>
      </x:c>
      <x:c r="K62" t="str">
        <x:v>Paid</x:v>
      </x:c>
    </x:row>
    <x:row r="63" ht="18" customHeight="1">
      <x:c r="A63" t="str">
        <x:v>SO00059</x:v>
      </x:c>
      <x:c r="B63" t="n">
        <x:v>46082</x:v>
      </x:c>
      <x:c r="C63" t="str">
        <x:v>CUS0059</x:v>
      </x:c>
      <x:c r="D63" t="str"/>
      <x:c r="E63" t="n">
        <x:v>5</x:v>
      </x:c>
      <x:c r="F63" t="n">
        <x:v>17060</x:v>
      </x:c>
      <x:c r="G63" t="n">
        <x:v>0</x:v>
      </x:c>
      <x:c r="H63" t="n">
        <x:v>85300</x:v>
      </x:c>
      <x:c r="I63" t="str">
        <x:v>Buea Branch</x:v>
      </x:c>
      <x:c r="J63" t="str">
        <x:v>Corporate</x:v>
      </x:c>
      <x:c r="K63" t="str">
        <x:v>Paid</x:v>
      </x:c>
    </x:row>
    <x:row r="64" ht="18" customHeight="1">
      <x:c r="A64" t="str">
        <x:v>SO00060</x:v>
      </x:c>
      <x:c r="B64" t="n">
        <x:v>46083</x:v>
      </x:c>
      <x:c r="C64" t="str">
        <x:v>CUS0060</x:v>
      </x:c>
      <x:c r="D64" t="str">
        <x:v>PRD030</x:v>
      </x:c>
      <x:c r="E64" t="n">
        <x:v>1</x:v>
      </x:c>
      <x:c r="F64" t="n">
        <x:v>17600</x:v>
      </x:c>
      <x:c r="G64" t="n">
        <x:v>880</x:v>
      </x:c>
      <x:c r="H64" t="n">
        <x:v>16720</x:v>
      </x:c>
      <x:c r="I64" t="str">
        <x:v>Bafoussam Branch</x:v>
      </x:c>
      <x:c r="J64" t="str">
        <x:v>Store</x:v>
      </x:c>
      <x:c r="K64" t="str">
        <x:v>Paid</x:v>
      </x:c>
    </x:row>
    <x:row r="65" ht="18" customHeight="1">
      <x:c r="A65" t="str">
        <x:v>SO00061</x:v>
      </x:c>
      <x:c r="B65" t="n">
        <x:v>46084</x:v>
      </x:c>
      <x:c r="C65" t="str">
        <x:v>CUS0001</x:v>
      </x:c>
      <x:c r="D65" t="str">
        <x:v>PRD001</x:v>
      </x:c>
      <x:c r="E65" t="n">
        <x:v>2</x:v>
      </x:c>
      <x:c r="F65" t="n">
        <x:v>1820</x:v>
      </x:c>
      <x:c r="G65" t="n">
        <x:v>0</x:v>
      </x:c>
      <x:c r="H65" t="n">
        <x:v>3640</x:v>
      </x:c>
      <x:c r="I65" t="str">
        <x:v>Douala Central</x:v>
      </x:c>
      <x:c r="J65" t="str">
        <x:v>Online</x:v>
      </x:c>
      <x:c r="K65" t="str">
        <x:v>Paid</x:v>
      </x:c>
    </x:row>
    <x:row r="66" ht="18" customHeight="1">
      <x:c r="A66" t="str">
        <x:v>SO00062</x:v>
      </x:c>
      <x:c r="B66" t="n">
        <x:v>46085</x:v>
      </x:c>
      <x:c r="C66" t="str">
        <x:v>CUS0002</x:v>
      </x:c>
      <x:c r="D66" t="str">
        <x:v>PRD002</x:v>
      </x:c>
      <x:c r="E66" t="n">
        <x:v>3</x:v>
      </x:c>
      <x:c r="F66" t="n">
        <x:v>2370</x:v>
      </x:c>
      <x:c r="G66" t="n">
        <x:v>0</x:v>
      </x:c>
      <x:c r="H66" t="n">
        <x:v>7110</x:v>
      </x:c>
      <x:c r="I66" t="str">
        <x:v>Yaounde Central</x:v>
      </x:c>
      <x:c r="J66" t="str">
        <x:v>Wholesale</x:v>
      </x:c>
      <x:c r="K66" t="str">
        <x:v>Paid</x:v>
      </x:c>
    </x:row>
    <x:row r="67" ht="18" customHeight="1">
      <x:c r="A67" t="str">
        <x:v>SO00063</x:v>
      </x:c>
      <x:c r="B67" t="n">
        <x:v>46086</x:v>
      </x:c>
      <x:c r="C67" t="str">
        <x:v>CUS0003</x:v>
      </x:c>
      <x:c r="D67" t="str">
        <x:v>PRD003</x:v>
      </x:c>
      <x:c r="E67" t="n">
        <x:v>4</x:v>
      </x:c>
      <x:c r="F67" t="n">
        <x:v>2910</x:v>
      </x:c>
      <x:c r="G67" t="n">
        <x:v>0</x:v>
      </x:c>
      <x:c r="H67" t="n">
        <x:v>11640</x:v>
      </x:c>
      <x:c r="I67" t="str">
        <x:v>Buea Branch</x:v>
      </x:c>
      <x:c r="J67" t="str">
        <x:v>Corporate</x:v>
      </x:c>
      <x:c r="K67" t="str">
        <x:v>Paid</x:v>
      </x:c>
    </x:row>
    <x:row r="68" ht="18" customHeight="1">
      <x:c r="A68" t="str">
        <x:v>SO00064</x:v>
      </x:c>
      <x:c r="B68" t="n">
        <x:v>46087</x:v>
      </x:c>
      <x:c r="C68" t="str">
        <x:v>CUS0004</x:v>
      </x:c>
      <x:c r="D68" t="str">
        <x:v>PRD004</x:v>
      </x:c>
      <x:c r="E68" t="n">
        <x:v>5</x:v>
      </x:c>
      <x:c r="F68" t="n">
        <x:v>3460</x:v>
      </x:c>
      <x:c r="G68" t="n">
        <x:v>0</x:v>
      </x:c>
      <x:c r="H68" t="n">
        <x:v>17300</x:v>
      </x:c>
      <x:c r="I68" t="str">
        <x:v>Bafoussam Branch</x:v>
      </x:c>
      <x:c r="J68" t="str">
        <x:v>Store</x:v>
      </x:c>
      <x:c r="K68" t="str">
        <x:v>Paid</x:v>
      </x:c>
    </x:row>
    <x:row r="69" ht="18" customHeight="1">
      <x:c r="A69" t="str">
        <x:v>SO00065</x:v>
      </x:c>
      <x:c r="B69" t="n">
        <x:v>46088</x:v>
      </x:c>
      <x:c r="C69" t="str">
        <x:v>CUS0005</x:v>
      </x:c>
      <x:c r="D69" t="str">
        <x:v>PRD005</x:v>
      </x:c>
      <x:c r="E69" t="n">
        <x:v>1</x:v>
      </x:c>
      <x:c r="F69" t="n">
        <x:v>4000</x:v>
      </x:c>
      <x:c r="G69" t="n">
        <x:v>0</x:v>
      </x:c>
      <x:c r="H69" t="n">
        <x:v>4000</x:v>
      </x:c>
      <x:c r="I69" t="str">
        <x:v>Douala Central</x:v>
      </x:c>
      <x:c r="J69" t="str">
        <x:v>Online</x:v>
      </x:c>
      <x:c r="K69" t="str">
        <x:v>Paid</x:v>
      </x:c>
    </x:row>
    <x:row r="70" ht="18" customHeight="1">
      <x:c r="A70" t="str">
        <x:v>SO00066</x:v>
      </x:c>
      <x:c r="B70" t="n">
        <x:v>46089</x:v>
      </x:c>
      <x:c r="C70" t="str">
        <x:v>CUS0006</x:v>
      </x:c>
      <x:c r="D70" t="str">
        <x:v>PRD006</x:v>
      </x:c>
      <x:c r="E70" t="n">
        <x:v>2</x:v>
      </x:c>
      <x:c r="F70" t="n">
        <x:v>4540</x:v>
      </x:c>
      <x:c r="G70" t="n">
        <x:v>0</x:v>
      </x:c>
      <x:c r="H70" t="n">
        <x:v>9080</x:v>
      </x:c>
      <x:c r="I70" t="str">
        <x:v>Yaounde Central</x:v>
      </x:c>
      <x:c r="J70" t="str">
        <x:v>Wholesale</x:v>
      </x:c>
      <x:c r="K70" t="str">
        <x:v>Partial</x:v>
      </x:c>
    </x:row>
    <x:row r="71" ht="18" customHeight="1">
      <x:c r="A71" t="str">
        <x:v>SO00067</x:v>
      </x:c>
      <x:c r="B71" t="n">
        <x:v>46090</x:v>
      </x:c>
      <x:c r="C71" t="str">
        <x:v>CUS0007</x:v>
      </x:c>
      <x:c r="D71" t="str">
        <x:v>PRD007</x:v>
      </x:c>
      <x:c r="E71" t="n">
        <x:v>3</x:v>
      </x:c>
      <x:c r="F71" t="n">
        <x:v>5090</x:v>
      </x:c>
      <x:c r="G71" t="n">
        <x:v>0</x:v>
      </x:c>
      <x:c r="H71" t="n">
        <x:v>15270</x:v>
      </x:c>
      <x:c r="I71" t="str">
        <x:v>Buea Branch</x:v>
      </x:c>
      <x:c r="J71" t="str">
        <x:v>Corporate</x:v>
      </x:c>
      <x:c r="K71" t="str">
        <x:v>Paid</x:v>
      </x:c>
    </x:row>
    <x:row r="72" ht="18" customHeight="1">
      <x:c r="A72" t="str">
        <x:v>SO00068</x:v>
      </x:c>
      <x:c r="B72" t="n">
        <x:v>46091</x:v>
      </x:c>
      <x:c r="C72" t="str">
        <x:v>CUS0008</x:v>
      </x:c>
      <x:c r="D72" t="str">
        <x:v>PRD008</x:v>
      </x:c>
      <x:c r="E72" t="n">
        <x:v>4</x:v>
      </x:c>
      <x:c r="F72" t="n">
        <x:v>5630</x:v>
      </x:c>
      <x:c r="G72" t="n">
        <x:v>0</x:v>
      </x:c>
      <x:c r="H72" t="n">
        <x:v>22520</x:v>
      </x:c>
      <x:c r="I72" t="str">
        <x:v>Bafoussam Branch</x:v>
      </x:c>
      <x:c r="J72" t="str">
        <x:v>Store</x:v>
      </x:c>
      <x:c r="K72" t="str">
        <x:v>Paid</x:v>
      </x:c>
    </x:row>
    <x:row r="73" ht="18" customHeight="1">
      <x:c r="A73" t="str">
        <x:v>SO00069</x:v>
      </x:c>
      <x:c r="B73" t="n">
        <x:v>46092</x:v>
      </x:c>
      <x:c r="C73" t="str">
        <x:v>CUS0009</x:v>
      </x:c>
      <x:c r="D73" t="str">
        <x:v>PRD009</x:v>
      </x:c>
      <x:c r="E73" t="n">
        <x:v>5</x:v>
      </x:c>
      <x:c r="F73" t="n">
        <x:v>6180</x:v>
      </x:c>
      <x:c r="G73" t="n">
        <x:v>0</x:v>
      </x:c>
      <x:c r="H73" t="n">
        <x:v>30900</x:v>
      </x:c>
      <x:c r="I73" t="str">
        <x:v>Douala Central</x:v>
      </x:c>
      <x:c r="J73" t="str">
        <x:v>Online</x:v>
      </x:c>
      <x:c r="K73" t="str">
        <x:v>Paid</x:v>
      </x:c>
    </x:row>
    <x:row r="74" ht="18" customHeight="1">
      <x:c r="A74" t="str">
        <x:v>SO00070</x:v>
      </x:c>
      <x:c r="B74" t="n">
        <x:v>46093</x:v>
      </x:c>
      <x:c r="C74" t="str">
        <x:v>CUS0010</x:v>
      </x:c>
      <x:c r="D74" t="str">
        <x:v>PRD010</x:v>
      </x:c>
      <x:c r="E74" t="n">
        <x:v>1</x:v>
      </x:c>
      <x:c r="F74" t="n">
        <x:v>6720</x:v>
      </x:c>
      <x:c r="G74" t="n">
        <x:v>336</x:v>
      </x:c>
      <x:c r="H74" t="n">
        <x:v>6384</x:v>
      </x:c>
      <x:c r="I74" t="str">
        <x:v>Yaounde Central</x:v>
      </x:c>
      <x:c r="J74" t="str">
        <x:v>Wholesale</x:v>
      </x:c>
      <x:c r="K74" t="str">
        <x:v>Paid</x:v>
      </x:c>
    </x:row>
    <x:row r="75" ht="18" customHeight="1">
      <x:c r="A75" t="str">
        <x:v>SO00071</x:v>
      </x:c>
      <x:c r="B75" t="n">
        <x:v>46094</x:v>
      </x:c>
      <x:c r="C75" t="str">
        <x:v>CUS0011</x:v>
      </x:c>
      <x:c r="D75" t="str">
        <x:v>PRD011</x:v>
      </x:c>
      <x:c r="E75" t="n">
        <x:v>2</x:v>
      </x:c>
      <x:c r="F75" t="n">
        <x:v>7260</x:v>
      </x:c>
      <x:c r="G75" t="n">
        <x:v>0</x:v>
      </x:c>
      <x:c r="H75" t="n">
        <x:v>14520</x:v>
      </x:c>
      <x:c r="I75" t="str">
        <x:v>Buea Branch</x:v>
      </x:c>
      <x:c r="J75" t="str">
        <x:v>Corporate</x:v>
      </x:c>
      <x:c r="K75" t="str">
        <x:v>Paid</x:v>
      </x:c>
    </x:row>
    <x:row r="76" ht="18" customHeight="1">
      <x:c r="A76" t="str">
        <x:v>SO00072</x:v>
      </x:c>
      <x:c r="B76" t="n">
        <x:v>46095</x:v>
      </x:c>
      <x:c r="C76" t="str">
        <x:v>CUS0012</x:v>
      </x:c>
      <x:c r="D76" t="str">
        <x:v>PRD012</x:v>
      </x:c>
      <x:c r="E76" t="n">
        <x:v>3</x:v>
      </x:c>
      <x:c r="F76" t="n">
        <x:v>7810</x:v>
      </x:c>
      <x:c r="G76" t="n">
        <x:v>0</x:v>
      </x:c>
      <x:c r="H76" t="n">
        <x:v>23430</x:v>
      </x:c>
      <x:c r="I76" t="str">
        <x:v>Bafoussam Branch</x:v>
      </x:c>
      <x:c r="J76" t="str">
        <x:v>Store</x:v>
      </x:c>
      <x:c r="K76" t="str">
        <x:v>Paid</x:v>
      </x:c>
    </x:row>
    <x:row r="77" ht="18" customHeight="1">
      <x:c r="A77" t="str">
        <x:v>SO00073</x:v>
      </x:c>
      <x:c r="B77" t="n">
        <x:v>46096</x:v>
      </x:c>
      <x:c r="C77" t="str">
        <x:v>CUS0013</x:v>
      </x:c>
      <x:c r="D77" t="str">
        <x:v>PRD013</x:v>
      </x:c>
      <x:c r="E77" t="n">
        <x:v>4</x:v>
      </x:c>
      <x:c r="F77" t="n">
        <x:v>8350</x:v>
      </x:c>
      <x:c r="G77" t="n">
        <x:v>0</x:v>
      </x:c>
      <x:c r="H77"/>
      <x:c r="I77" t="str">
        <x:v>Douala Central</x:v>
      </x:c>
      <x:c r="J77" t="str">
        <x:v>Online</x:v>
      </x:c>
      <x:c r="K77" t="str">
        <x:v>Paid</x:v>
      </x:c>
    </x:row>
    <x:row r="78" ht="18" customHeight="1">
      <x:c r="A78" t="str">
        <x:v>SO00074</x:v>
      </x:c>
      <x:c r="B78" t="n">
        <x:v>46097</x:v>
      </x:c>
      <x:c r="C78" t="str">
        <x:v>CUS0014</x:v>
      </x:c>
      <x:c r="D78" t="str">
        <x:v>PRD014</x:v>
      </x:c>
      <x:c r="E78" t="n">
        <x:v>5</x:v>
      </x:c>
      <x:c r="F78" t="n">
        <x:v>8900</x:v>
      </x:c>
      <x:c r="G78" t="n">
        <x:v>0</x:v>
      </x:c>
      <x:c r="H78" t="n">
        <x:v>44500</x:v>
      </x:c>
      <x:c r="I78" t="str">
        <x:v>Yaounde Central</x:v>
      </x:c>
      <x:c r="J78" t="str">
        <x:v>Wholesale</x:v>
      </x:c>
      <x:c r="K78" t="str">
        <x:v>Paid</x:v>
      </x:c>
    </x:row>
    <x:row r="79" ht="18" customHeight="1">
      <x:c r="A79" t="str">
        <x:v>SO00075</x:v>
      </x:c>
      <x:c r="B79" t="n">
        <x:v>46098</x:v>
      </x:c>
      <x:c r="C79" t="str">
        <x:v>CUS0015</x:v>
      </x:c>
      <x:c r="D79" t="str">
        <x:v>PRD015</x:v>
      </x:c>
      <x:c r="E79" t="n">
        <x:v>1</x:v>
      </x:c>
      <x:c r="F79" t="n">
        <x:v>9440</x:v>
      </x:c>
      <x:c r="G79" t="n">
        <x:v>0</x:v>
      </x:c>
      <x:c r="H79" t="n">
        <x:v>9440</x:v>
      </x:c>
      <x:c r="I79" t="str">
        <x:v>Buea Branch</x:v>
      </x:c>
      <x:c r="J79" t="str">
        <x:v>Corporate</x:v>
      </x:c>
      <x:c r="K79" t="str">
        <x:v>Paid</x:v>
      </x:c>
    </x:row>
    <x:row r="80" ht="18" customHeight="1">
      <x:c r="A80" t="str">
        <x:v>SO00076</x:v>
      </x:c>
      <x:c r="B80" t="n">
        <x:v>46099</x:v>
      </x:c>
      <x:c r="C80" t="str">
        <x:v>CUS0016</x:v>
      </x:c>
      <x:c r="D80" t="str">
        <x:v>PRD016</x:v>
      </x:c>
      <x:c r="E80" t="n">
        <x:v>2</x:v>
      </x:c>
      <x:c r="F80" t="n">
        <x:v>9980</x:v>
      </x:c>
      <x:c r="G80" t="n">
        <x:v>0</x:v>
      </x:c>
      <x:c r="H80" t="n">
        <x:v>19960</x:v>
      </x:c>
      <x:c r="I80" t="str">
        <x:v>Bafoussam Branch</x:v>
      </x:c>
      <x:c r="J80" t="str">
        <x:v>Store</x:v>
      </x:c>
      <x:c r="K80" t="str">
        <x:v>Paid</x:v>
      </x:c>
    </x:row>
    <x:row r="81" ht="18" customHeight="1">
      <x:c r="A81" t="str">
        <x:v>SO00077</x:v>
      </x:c>
      <x:c r="B81" t="n">
        <x:v>46100</x:v>
      </x:c>
      <x:c r="C81" t="str">
        <x:v>CUS0017</x:v>
      </x:c>
      <x:c r="D81" t="str">
        <x:v>PRD017</x:v>
      </x:c>
      <x:c r="E81" t="n">
        <x:v>3</x:v>
      </x:c>
      <x:c r="F81" t="n">
        <x:v>10530</x:v>
      </x:c>
      <x:c r="G81" t="n">
        <x:v>0</x:v>
      </x:c>
      <x:c r="H81" t="n">
        <x:v>31590</x:v>
      </x:c>
      <x:c r="I81" t="str">
        <x:v>Douala Central</x:v>
      </x:c>
      <x:c r="J81" t="str">
        <x:v>Online</x:v>
      </x:c>
      <x:c r="K81" t="str">
        <x:v>Partial</x:v>
      </x:c>
    </x:row>
    <x:row r="82" ht="18" customHeight="1">
      <x:c r="A82" t="str">
        <x:v>SO00078</x:v>
      </x:c>
      <x:c r="B82" t="n">
        <x:v>46101</x:v>
      </x:c>
      <x:c r="C82" t="str">
        <x:v>CUS0018</x:v>
      </x:c>
      <x:c r="D82" t="str">
        <x:v>PRD018</x:v>
      </x:c>
      <x:c r="E82" t="n">
        <x:v>4</x:v>
      </x:c>
      <x:c r="F82" t="n">
        <x:v>11070</x:v>
      </x:c>
      <x:c r="G82" t="n">
        <x:v>0</x:v>
      </x:c>
      <x:c r="H82" t="n">
        <x:v>44280</x:v>
      </x:c>
      <x:c r="I82" t="str">
        <x:v>Yaounde Central</x:v>
      </x:c>
      <x:c r="J82" t="str">
        <x:v>Wholesale</x:v>
      </x:c>
      <x:c r="K82" t="str">
        <x:v>Paid</x:v>
      </x:c>
    </x:row>
    <x:row r="83" ht="18" customHeight="1">
      <x:c r="A83" t="str">
        <x:v>SO00079</x:v>
      </x:c>
      <x:c r="B83" t="n">
        <x:v>46102</x:v>
      </x:c>
      <x:c r="C83" t="str">
        <x:v>CUS0019</x:v>
      </x:c>
      <x:c r="D83" t="str">
        <x:v>PRD019</x:v>
      </x:c>
      <x:c r="E83" t="n">
        <x:v>5</x:v>
      </x:c>
      <x:c r="F83" t="n">
        <x:v>11620</x:v>
      </x:c>
      <x:c r="G83" t="n">
        <x:v>0</x:v>
      </x:c>
      <x:c r="H83" t="n">
        <x:v>58100</x:v>
      </x:c>
      <x:c r="I83" t="str">
        <x:v>Buea Branch</x:v>
      </x:c>
      <x:c r="J83" t="str">
        <x:v>Corporate</x:v>
      </x:c>
      <x:c r="K83" t="str">
        <x:v>Paid</x:v>
      </x:c>
    </x:row>
    <x:row r="84" ht="18" customHeight="1">
      <x:c r="A84" t="str">
        <x:v>SO00080</x:v>
      </x:c>
      <x:c r="B84" t="n">
        <x:v>46103</x:v>
      </x:c>
      <x:c r="C84" t="str">
        <x:v>CUS0020</x:v>
      </x:c>
      <x:c r="D84" t="str">
        <x:v>PRD020</x:v>
      </x:c>
      <x:c r="E84" t="n">
        <x:v>1</x:v>
      </x:c>
      <x:c r="F84" t="n">
        <x:v>12160</x:v>
      </x:c>
      <x:c r="G84" t="n">
        <x:v>608</x:v>
      </x:c>
      <x:c r="H84" t="n">
        <x:v>11552</x:v>
      </x:c>
      <x:c r="I84" t="str">
        <x:v>Bafoussam Branch</x:v>
      </x:c>
      <x:c r="J84" t="str">
        <x:v>Store</x:v>
      </x:c>
      <x:c r="K84" t="str">
        <x:v>Paid</x:v>
      </x:c>
    </x:row>
    <x:row r="85" ht="18" customHeight="1">
      <x:c r="A85" t="str">
        <x:v>SO00081</x:v>
      </x:c>
      <x:c r="B85" t="n">
        <x:v>46104</x:v>
      </x:c>
      <x:c r="C85" t="str">
        <x:v>CUS0021</x:v>
      </x:c>
      <x:c r="D85" t="str">
        <x:v>PRD021</x:v>
      </x:c>
      <x:c r="E85" t="n">
        <x:v>2</x:v>
      </x:c>
      <x:c r="F85" t="n">
        <x:v>12700</x:v>
      </x:c>
      <x:c r="G85" t="n">
        <x:v>0</x:v>
      </x:c>
      <x:c r="H85" t="n">
        <x:v>25400</x:v>
      </x:c>
      <x:c r="I85" t="str">
        <x:v>Douala Central</x:v>
      </x:c>
      <x:c r="J85" t="str">
        <x:v>Online</x:v>
      </x:c>
      <x:c r="K85" t="str">
        <x:v>Paid</x:v>
      </x:c>
    </x:row>
    <x:row r="86" ht="18" customHeight="1">
      <x:c r="A86" t="str">
        <x:v>SO00082</x:v>
      </x:c>
      <x:c r="B86" t="n">
        <x:v>46105</x:v>
      </x:c>
      <x:c r="C86" t="str">
        <x:v>CUS0022</x:v>
      </x:c>
      <x:c r="D86" t="str">
        <x:v>PRD022</x:v>
      </x:c>
      <x:c r="E86" t="n">
        <x:v>3</x:v>
      </x:c>
      <x:c r="F86" t="n">
        <x:v>13250</x:v>
      </x:c>
      <x:c r="G86" t="n">
        <x:v>0</x:v>
      </x:c>
      <x:c r="H86" t="n">
        <x:v>39750</x:v>
      </x:c>
      <x:c r="I86" t="str">
        <x:v>Yaounde Central</x:v>
      </x:c>
      <x:c r="J86" t="str">
        <x:v>Wholesale</x:v>
      </x:c>
      <x:c r="K86" t="str">
        <x:v>Paid</x:v>
      </x:c>
    </x:row>
    <x:row r="87" ht="18" customHeight="1">
      <x:c r="A87" t="str">
        <x:v>SO00083</x:v>
      </x:c>
      <x:c r="B87" t="n">
        <x:v>46106</x:v>
      </x:c>
      <x:c r="C87" t="str">
        <x:v>CUS0023</x:v>
      </x:c>
      <x:c r="D87" t="str">
        <x:v>PRD023</x:v>
      </x:c>
      <x:c r="E87" t="n">
        <x:v>4</x:v>
      </x:c>
      <x:c r="F87" t="n">
        <x:v>13790</x:v>
      </x:c>
      <x:c r="G87" t="n">
        <x:v>0</x:v>
      </x:c>
      <x:c r="H87" t="n">
        <x:v>55160</x:v>
      </x:c>
      <x:c r="I87" t="str">
        <x:v>Buea Branch</x:v>
      </x:c>
      <x:c r="J87" t="str">
        <x:v>Corporate</x:v>
      </x:c>
      <x:c r="K87" t="str">
        <x:v>Paid</x:v>
      </x:c>
    </x:row>
    <x:row r="88" ht="18" customHeight="1">
      <x:c r="A88" t="str">
        <x:v>SO00084</x:v>
      </x:c>
      <x:c r="B88" t="n">
        <x:v>46107</x:v>
      </x:c>
      <x:c r="C88" t="str">
        <x:v>CUS0024</x:v>
      </x:c>
      <x:c r="D88" t="str">
        <x:v>PRD024</x:v>
      </x:c>
      <x:c r="E88" t="n">
        <x:v>5</x:v>
      </x:c>
      <x:c r="F88" t="n">
        <x:v>14340</x:v>
      </x:c>
      <x:c r="G88" t="n">
        <x:v>0</x:v>
      </x:c>
      <x:c r="H88" t="n">
        <x:v>71700</x:v>
      </x:c>
      <x:c r="I88" t="str">
        <x:v>Bafoussam Branch</x:v>
      </x:c>
      <x:c r="J88" t="str">
        <x:v>Store</x:v>
      </x:c>
      <x:c r="K88" t="str">
        <x:v>Paid</x:v>
      </x:c>
    </x:row>
    <x:row r="89" ht="18" customHeight="1">
      <x:c r="A89" t="str">
        <x:v>SO00085</x:v>
      </x:c>
      <x:c r="B89" t="n">
        <x:v>46108</x:v>
      </x:c>
      <x:c r="C89" t="str">
        <x:v>CUS0025</x:v>
      </x:c>
      <x:c r="D89" t="str">
        <x:v>PRD025</x:v>
      </x:c>
      <x:c r="E89" t="n">
        <x:v>1</x:v>
      </x:c>
      <x:c r="F89" t="n">
        <x:v>14880</x:v>
      </x:c>
      <x:c r="G89" t="n">
        <x:v>0</x:v>
      </x:c>
      <x:c r="H89" t="n">
        <x:v>14880</x:v>
      </x:c>
      <x:c r="I89" t="str">
        <x:v>Douala Central</x:v>
      </x:c>
      <x:c r="J89" t="str">
        <x:v>Online</x:v>
      </x:c>
      <x:c r="K89" t="str">
        <x:v>Paid</x:v>
      </x:c>
    </x:row>
    <x:row r="90" ht="18" customHeight="1">
      <x:c r="A90" t="str">
        <x:v>SO00086</x:v>
      </x:c>
      <x:c r="B90" t="n">
        <x:v>46109</x:v>
      </x:c>
      <x:c r="C90" t="str">
        <x:v>CUS0026</x:v>
      </x:c>
      <x:c r="D90" t="str">
        <x:v>PRD026</x:v>
      </x:c>
      <x:c r="E90" t="n">
        <x:v>2</x:v>
      </x:c>
      <x:c r="F90" t="n">
        <x:v>15420</x:v>
      </x:c>
      <x:c r="G90" t="n">
        <x:v>0</x:v>
      </x:c>
      <x:c r="H90" t="n">
        <x:v>30840</x:v>
      </x:c>
      <x:c r="I90" t="str">
        <x:v>Yaounde Central</x:v>
      </x:c>
      <x:c r="J90" t="str">
        <x:v>Wholesale</x:v>
      </x:c>
      <x:c r="K90" t="str">
        <x:v>Paid</x:v>
      </x:c>
    </x:row>
    <x:row r="91" ht="18" customHeight="1">
      <x:c r="A91" t="str">
        <x:v>SO00087</x:v>
      </x:c>
      <x:c r="B91" t="n">
        <x:v>46110</x:v>
      </x:c>
      <x:c r="C91" t="str">
        <x:v>CUS0027</x:v>
      </x:c>
      <x:c r="D91" t="str">
        <x:v>PRD027</x:v>
      </x:c>
      <x:c r="E91" t="n">
        <x:v>3</x:v>
      </x:c>
      <x:c r="F91" t="n">
        <x:v>15970</x:v>
      </x:c>
      <x:c r="G91" t="n">
        <x:v>0</x:v>
      </x:c>
      <x:c r="H91" t="n">
        <x:v>47910</x:v>
      </x:c>
      <x:c r="I91" t="str">
        <x:v>Buea Branch</x:v>
      </x:c>
      <x:c r="J91" t="str">
        <x:v>Corporate</x:v>
      </x:c>
      <x:c r="K91" t="str">
        <x:v>Paid</x:v>
      </x:c>
    </x:row>
    <x:row r="92" ht="18" customHeight="1">
      <x:c r="A92" t="str">
        <x:v>SO00088</x:v>
      </x:c>
      <x:c r="B92" t="n">
        <x:v>46111</x:v>
      </x:c>
      <x:c r="C92" t="str">
        <x:v>CUS0028</x:v>
      </x:c>
      <x:c r="D92" t="str">
        <x:v>PRD028</x:v>
      </x:c>
      <x:c r="E92" t="n">
        <x:v>4</x:v>
      </x:c>
      <x:c r="F92" t="n">
        <x:v>16510</x:v>
      </x:c>
      <x:c r="G92" t="n">
        <x:v>0</x:v>
      </x:c>
      <x:c r="H92" t="n">
        <x:v>66040</x:v>
      </x:c>
      <x:c r="I92" t="str">
        <x:v>Bafoussam Branch</x:v>
      </x:c>
      <x:c r="J92" t="str">
        <x:v>Store</x:v>
      </x:c>
      <x:c r="K92" t="str">
        <x:v>Partial</x:v>
      </x:c>
    </x:row>
    <x:row r="93" ht="18" customHeight="1">
      <x:c r="A93" t="str">
        <x:v>SO00089</x:v>
      </x:c>
      <x:c r="B93" t="n">
        <x:v>46112</x:v>
      </x:c>
      <x:c r="C93" t="str">
        <x:v>CUS0029</x:v>
      </x:c>
      <x:c r="D93" t="str">
        <x:v>PRD029</x:v>
      </x:c>
      <x:c r="E93" t="n">
        <x:v>5</x:v>
      </x:c>
      <x:c r="F93" t="n">
        <x:v>17060</x:v>
      </x:c>
      <x:c r="G93" t="n">
        <x:v>0</x:v>
      </x:c>
      <x:c r="H93" t="n">
        <x:v>85300</x:v>
      </x:c>
      <x:c r="I93" t="str">
        <x:v>Douala Central</x:v>
      </x:c>
      <x:c r="J93" t="str">
        <x:v>Online</x:v>
      </x:c>
      <x:c r="K93" t="str">
        <x:v>Paid</x:v>
      </x:c>
    </x:row>
    <x:row r="94" ht="18" customHeight="1">
      <x:c r="A94" t="str">
        <x:v>SO00090</x:v>
      </x:c>
      <x:c r="B94" t="n">
        <x:v>46113</x:v>
      </x:c>
      <x:c r="C94" t="str">
        <x:v>CUS0030</x:v>
      </x:c>
      <x:c r="D94" t="str">
        <x:v>PRD030</x:v>
      </x:c>
      <x:c r="E94" t="n">
        <x:v>1</x:v>
      </x:c>
      <x:c r="F94" t="n">
        <x:v>17600</x:v>
      </x:c>
      <x:c r="G94" t="n">
        <x:v>880</x:v>
      </x:c>
      <x:c r="H94" t="n">
        <x:v>16720</x:v>
      </x:c>
      <x:c r="I94" t="str">
        <x:v>Yaounde Central</x:v>
      </x:c>
      <x:c r="J94" t="str">
        <x:v>Wholesale</x:v>
      </x:c>
      <x:c r="K94" t="str">
        <x:v>Paid</x:v>
      </x:c>
    </x:row>
    <x:row r="95" ht="18" customHeight="1">
      <x:c r="A95" t="str">
        <x:v>SO00091</x:v>
      </x:c>
      <x:c r="B95" t="n">
        <x:v>46114</x:v>
      </x:c>
      <x:c r="C95" t="str">
        <x:v>CUS0031</x:v>
      </x:c>
      <x:c r="D95" t="str">
        <x:v>PRD001</x:v>
      </x:c>
      <x:c r="E95" t="n">
        <x:v>2</x:v>
      </x:c>
      <x:c r="F95" t="n">
        <x:v>1820</x:v>
      </x:c>
      <x:c r="G95" t="n">
        <x:v>0</x:v>
      </x:c>
      <x:c r="H95" t="n">
        <x:v>3640</x:v>
      </x:c>
      <x:c r="I95" t="str">
        <x:v>Buea Branch</x:v>
      </x:c>
      <x:c r="J95" t="str">
        <x:v>Corporate</x:v>
      </x:c>
      <x:c r="K95" t="str">
        <x:v>Paid</x:v>
      </x:c>
    </x:row>
    <x:row r="96" ht="18" customHeight="1">
      <x:c r="A96" t="str">
        <x:v>SO00092</x:v>
      </x:c>
      <x:c r="B96" t="n">
        <x:v>46115</x:v>
      </x:c>
      <x:c r="C96" t="str">
        <x:v>CUS0032</x:v>
      </x:c>
      <x:c r="D96" t="str">
        <x:v>PRD002</x:v>
      </x:c>
      <x:c r="E96" t="n">
        <x:v>3</x:v>
      </x:c>
      <x:c r="F96" t="n">
        <x:v>2370</x:v>
      </x:c>
      <x:c r="G96" t="n">
        <x:v>0</x:v>
      </x:c>
      <x:c r="H96" t="n">
        <x:v>7110</x:v>
      </x:c>
      <x:c r="I96" t="str">
        <x:v>Bafoussam Branch</x:v>
      </x:c>
      <x:c r="J96" t="str">
        <x:v>Store</x:v>
      </x:c>
      <x:c r="K96" t="str">
        <x:v>Paid</x:v>
      </x:c>
    </x:row>
    <x:row r="97" ht="18" customHeight="1">
      <x:c r="A97" t="str">
        <x:v>SO00093</x:v>
      </x:c>
      <x:c r="B97" t="n">
        <x:v>46116</x:v>
      </x:c>
      <x:c r="C97" t="str">
        <x:v>CUS0033</x:v>
      </x:c>
      <x:c r="D97" t="str">
        <x:v>PRD003</x:v>
      </x:c>
      <x:c r="E97" t="n">
        <x:v>4</x:v>
      </x:c>
      <x:c r="F97" t="n">
        <x:v>2910</x:v>
      </x:c>
      <x:c r="G97" t="n">
        <x:v>0</x:v>
      </x:c>
      <x:c r="H97" t="n">
        <x:v>11640</x:v>
      </x:c>
      <x:c r="I97" t="str">
        <x:v>Douala Central</x:v>
      </x:c>
      <x:c r="J97" t="str">
        <x:v>Online</x:v>
      </x:c>
      <x:c r="K97" t="str">
        <x:v>Paid</x:v>
      </x:c>
    </x:row>
    <x:row r="98" ht="18" customHeight="1">
      <x:c r="A98" t="str">
        <x:v>SO00094</x:v>
      </x:c>
      <x:c r="B98" t="n">
        <x:v>46117</x:v>
      </x:c>
      <x:c r="C98" t="str">
        <x:v>CUS0034</x:v>
      </x:c>
      <x:c r="D98" t="str">
        <x:v>PRD004</x:v>
      </x:c>
      <x:c r="E98" t="n">
        <x:v>5</x:v>
      </x:c>
      <x:c r="F98" t="n">
        <x:v>3460</x:v>
      </x:c>
      <x:c r="G98" t="n">
        <x:v>0</x:v>
      </x:c>
      <x:c r="H98" t="n">
        <x:v>17300</x:v>
      </x:c>
      <x:c r="I98" t="str">
        <x:v>Yaounde Central</x:v>
      </x:c>
      <x:c r="J98" t="str">
        <x:v>Wholesale</x:v>
      </x:c>
      <x:c r="K98" t="str">
        <x:v>Paid</x:v>
      </x:c>
    </x:row>
    <x:row r="99" ht="18" customHeight="1">
      <x:c r="A99" t="str">
        <x:v>SO00095</x:v>
      </x:c>
      <x:c r="B99" t="n">
        <x:v>46118</x:v>
      </x:c>
      <x:c r="C99" t="str">
        <x:v>CUS0035</x:v>
      </x:c>
      <x:c r="D99" t="str">
        <x:v>PRD005</x:v>
      </x:c>
      <x:c r="E99" t="n">
        <x:v>1</x:v>
      </x:c>
      <x:c r="F99" t="n">
        <x:v>4000</x:v>
      </x:c>
      <x:c r="G99" t="n">
        <x:v>0</x:v>
      </x:c>
      <x:c r="H99" t="n">
        <x:v>4000</x:v>
      </x:c>
      <x:c r="I99" t="str">
        <x:v>Buea Branch</x:v>
      </x:c>
      <x:c r="J99" t="str">
        <x:v>Corporate</x:v>
      </x:c>
      <x:c r="K99" t="str">
        <x:v>Paid</x:v>
      </x:c>
    </x:row>
    <x:row r="100" ht="18" customHeight="1">
      <x:c r="A100" t="str">
        <x:v>SO00096</x:v>
      </x:c>
      <x:c r="B100" t="n">
        <x:v>46119</x:v>
      </x:c>
      <x:c r="C100" t="str">
        <x:v>CUS0036</x:v>
      </x:c>
      <x:c r="D100" t="str">
        <x:v>PRD006</x:v>
      </x:c>
      <x:c r="E100" t="n">
        <x:v>2</x:v>
      </x:c>
      <x:c r="F100" t="n">
        <x:v>4540</x:v>
      </x:c>
      <x:c r="G100" t="n">
        <x:v>0</x:v>
      </x:c>
      <x:c r="H100" t="n">
        <x:v>9080</x:v>
      </x:c>
      <x:c r="I100" t="str">
        <x:v>Bafoussam Branch</x:v>
      </x:c>
      <x:c r="J100" t="str">
        <x:v>Store</x:v>
      </x:c>
      <x:c r="K100" t="str">
        <x:v>Paid</x:v>
      </x:c>
    </x:row>
    <x:row r="101" ht="18" customHeight="1">
      <x:c r="A101" t="str">
        <x:v>SO00097</x:v>
      </x:c>
      <x:c r="B101" t="n">
        <x:v>46120</x:v>
      </x:c>
      <x:c r="C101" t="str">
        <x:v>CUS0037</x:v>
      </x:c>
      <x:c r="D101" t="str">
        <x:v>PRD007</x:v>
      </x:c>
      <x:c r="E101" t="n">
        <x:v>3</x:v>
      </x:c>
      <x:c r="F101" t="n">
        <x:v>5090</x:v>
      </x:c>
      <x:c r="G101" t="n">
        <x:v>0</x:v>
      </x:c>
      <x:c r="H101" t="n">
        <x:v>15270</x:v>
      </x:c>
      <x:c r="I101" t="str">
        <x:v>Douala Central</x:v>
      </x:c>
      <x:c r="J101" t="str">
        <x:v>Online</x:v>
      </x:c>
      <x:c r="K101" t="str">
        <x:v>Paid</x:v>
      </x:c>
    </x:row>
    <x:row r="102" ht="18" customHeight="1">
      <x:c r="A102" t="str">
        <x:v>SO00098</x:v>
      </x:c>
      <x:c r="B102" t="n">
        <x:v>46121</x:v>
      </x:c>
      <x:c r="C102" t="str">
        <x:v>CUS0038</x:v>
      </x:c>
      <x:c r="D102" t="str">
        <x:v>PRD008</x:v>
      </x:c>
      <x:c r="E102" t="n">
        <x:v>4</x:v>
      </x:c>
      <x:c r="F102" t="n">
        <x:v>5630</x:v>
      </x:c>
      <x:c r="G102" t="n">
        <x:v>0</x:v>
      </x:c>
      <x:c r="H102" t="n">
        <x:v>22520</x:v>
      </x:c>
      <x:c r="I102" t="str">
        <x:v>Yaounde Central</x:v>
      </x:c>
      <x:c r="J102" t="str">
        <x:v>Wholesale</x:v>
      </x:c>
      <x:c r="K102" t="str">
        <x:v>Paid</x:v>
      </x:c>
    </x:row>
    <x:row r="103" ht="18" customHeight="1">
      <x:c r="A103" t="str">
        <x:v>SO00099</x:v>
      </x:c>
      <x:c r="B103" t="n">
        <x:v>46122</x:v>
      </x:c>
      <x:c r="C103" t="str">
        <x:v>CUS0039</x:v>
      </x:c>
      <x:c r="D103" t="str">
        <x:v>PRD009</x:v>
      </x:c>
      <x:c r="E103" t="n">
        <x:v>5</x:v>
      </x:c>
      <x:c r="F103" t="n">
        <x:v>6180</x:v>
      </x:c>
      <x:c r="G103" t="n">
        <x:v>0</x:v>
      </x:c>
      <x:c r="H103" t="n">
        <x:v>30900</x:v>
      </x:c>
      <x:c r="I103" t="str">
        <x:v>Buea Branch</x:v>
      </x:c>
      <x:c r="J103" t="str">
        <x:v>Corporate</x:v>
      </x:c>
      <x:c r="K103" t="str">
        <x:v>Partial</x:v>
      </x:c>
    </x:row>
    <x:row r="104" ht="18" customHeight="1">
      <x:c r="A104" t="str">
        <x:v>SO00100</x:v>
      </x:c>
      <x:c r="B104" t="n">
        <x:v>46123</x:v>
      </x:c>
      <x:c r="C104" t="str">
        <x:v>CUS0040</x:v>
      </x:c>
      <x:c r="D104" t="str">
        <x:v>PRD010</x:v>
      </x:c>
      <x:c r="E104" t="n">
        <x:v>1</x:v>
      </x:c>
      <x:c r="F104" t="n">
        <x:v>6720</x:v>
      </x:c>
      <x:c r="G104" t="n">
        <x:v>336</x:v>
      </x:c>
      <x:c r="H104" t="n">
        <x:v>6384</x:v>
      </x:c>
      <x:c r="I104" t="str">
        <x:v>Bafoussam Branch</x:v>
      </x:c>
      <x:c r="J104" t="str">
        <x:v>Store</x:v>
      </x:c>
      <x:c r="K104" t="str">
        <x:v>Paid</x:v>
      </x:c>
    </x:row>
    <x:row r="105" ht="18" customHeight="1">
      <x:c r="A105" t="str">
        <x:v>SO00010</x:v>
      </x:c>
      <x:c r="B105" t="n">
        <x:v>46033</x:v>
      </x:c>
      <x:c r="C105" t="str">
        <x:v>CUS0010</x:v>
      </x:c>
      <x:c r="D105" t="str">
        <x:v>PRD010</x:v>
      </x:c>
      <x:c r="E105" t="n">
        <x:v>1</x:v>
      </x:c>
      <x:c r="F105" t="n">
        <x:v>6720</x:v>
      </x:c>
      <x:c r="G105" t="n">
        <x:v>336</x:v>
      </x:c>
      <x:c r="H105" t="n">
        <x:v>6384</x:v>
      </x:c>
      <x:c r="I105" t="str">
        <x:v>Yaounde Central</x:v>
      </x:c>
      <x:c r="J105" t="str">
        <x:v>Wholesale</x:v>
      </x:c>
      <x:c r="K105" t="str">
        <x:v>Paid</x:v>
      </x:c>
    </x:row>
    <x:row r="106" ht="18" customHeight="1">
      <x:c r="A106" t="str">
        <x:v>SO00050</x:v>
      </x:c>
      <x:c r="B106" t="n">
        <x:v>46073</x:v>
      </x:c>
      <x:c r="C106" t="str">
        <x:v>CUS0050</x:v>
      </x:c>
      <x:c r="D106" t="str">
        <x:v>PRD020</x:v>
      </x:c>
      <x:c r="E106" t="n">
        <x:v>1</x:v>
      </x:c>
      <x:c r="F106" t="n">
        <x:v>12160</x:v>
      </x:c>
      <x:c r="G106" t="n">
        <x:v>608</x:v>
      </x:c>
      <x:c r="H106" t="n">
        <x:v>11552</x:v>
      </x:c>
      <x:c r="I106" t="str">
        <x:v>Yaounde Central</x:v>
      </x:c>
      <x:c r="J106" t="str">
        <x:v>Wholesale</x:v>
      </x:c>
      <x:c r="K106" t="str">
        <x:v>Paid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98acfbbf4d6c431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.8799991607666" hidden="0" customWidth="1"/>
    <x:col min="5" max="5" width="17.1299991607666" hidden="0" customWidth="1"/>
    <x:col min="6" max="6" width="17.1299991607666" hidden="0" customWidth="1"/>
    <x:col min="7" max="7" width="13.5" hidden="0" customWidth="1"/>
    <x:col min="8" max="8" width="16" hidden="0" customWidth="1"/>
    <x:col min="9" max="9" width="18" hidden="0" customWidth="1"/>
  </x:cols>
  <x:sheetData>
    <x:row r="1" ht="30" customHeight="1">
      <x:c r="A1" s="5" t="str">
        <x:v>Inventory — Clean Reference</x:v>
      </x:c>
    </x:row>
    <x:row r="3">
      <x:c r="A3" s="76" t="str">
        <x:v>CLEAN REFERENCE DATASET</x:v>
      </x:c>
    </x:row>
    <x:row r="4">
      <x:c r="A4" s="51" t="str">
        <x:v>Inventory ID</x:v>
      </x:c>
      <x:c r="B4" s="52" t="str">
        <x:v>Product ID</x:v>
      </x:c>
      <x:c r="C4" s="52" t="str">
        <x:v>Warehouse</x:v>
      </x:c>
      <x:c r="D4" s="52" t="str">
        <x:v>Quantity On Hand</x:v>
      </x:c>
      <x:c r="E4" s="52" t="str">
        <x:v>Quantity Reserved</x:v>
      </x:c>
      <x:c r="F4" s="52" t="str">
        <x:v>Quantity Available</x:v>
      </x:c>
      <x:c r="G4" s="52" t="str">
        <x:v>Reorder Level</x:v>
      </x:c>
      <x:c r="H4" s="52" t="str">
        <x:v>Last Stock Count</x:v>
      </x:c>
      <x:c r="I4" s="53" t="str">
        <x:v>Stock Status</x:v>
      </x:c>
    </x:row>
    <x:row r="5" ht="18" customHeight="1">
      <x:c r="A5" t="str">
        <x:v>INV0001</x:v>
      </x:c>
      <x:c r="B5" t="str">
        <x:v>PRD001</x:v>
      </x:c>
      <x:c r="C5" t="str">
        <x:v>WH-DLA-01</x:v>
      </x:c>
      <x:c r="D5" t="n">
        <x:v>27</x:v>
      </x:c>
      <x:c r="E5" t="n">
        <x:v>1</x:v>
      </x:c>
      <x:c r="F5" t="n">
        <x:v>26</x:v>
      </x:c>
      <x:c r="G5" t="n">
        <x:v>15</x:v>
      </x:c>
      <x:c r="H5" s="70" t="n">
        <x:v>46203</x:v>
      </x:c>
      <x:c r="I5" t="str">
        <x:v>Adequate</x:v>
      </x:c>
    </x:row>
    <x:row r="6" ht="18" customHeight="1">
      <x:c r="A6" t="str">
        <x:v>INV0002</x:v>
      </x:c>
      <x:c r="B6" t="str">
        <x:v>PRD002</x:v>
      </x:c>
      <x:c r="C6" t="str">
        <x:v>WH-YDE-01</x:v>
      </x:c>
      <x:c r="D6" t="n">
        <x:v>34</x:v>
      </x:c>
      <x:c r="E6" t="n">
        <x:v>2</x:v>
      </x:c>
      <x:c r="F6" t="n">
        <x:v>32</x:v>
      </x:c>
      <x:c r="G6" t="n">
        <x:v>20</x:v>
      </x:c>
      <x:c r="H6" s="70" t="n">
        <x:v>46203</x:v>
      </x:c>
      <x:c r="I6" t="str">
        <x:v>Adequate</x:v>
      </x:c>
    </x:row>
    <x:row r="7" ht="18" customHeight="1">
      <x:c r="A7" t="str">
        <x:v>INV0003</x:v>
      </x:c>
      <x:c r="B7" t="str">
        <x:v>PRD003</x:v>
      </x:c>
      <x:c r="C7" t="str">
        <x:v>WH-BUE-01</x:v>
      </x:c>
      <x:c r="D7" t="n">
        <x:v>41</x:v>
      </x:c>
      <x:c r="E7" t="n">
        <x:v>3</x:v>
      </x:c>
      <x:c r="F7" t="n">
        <x:v>38</x:v>
      </x:c>
      <x:c r="G7" t="n">
        <x:v>25</x:v>
      </x:c>
      <x:c r="H7" s="70" t="n">
        <x:v>46203</x:v>
      </x:c>
      <x:c r="I7" t="str">
        <x:v>Adequate</x:v>
      </x:c>
    </x:row>
    <x:row r="8" ht="18" customHeight="1">
      <x:c r="A8" t="str">
        <x:v>INV0004</x:v>
      </x:c>
      <x:c r="B8" t="str">
        <x:v>PRD004</x:v>
      </x:c>
      <x:c r="C8" t="str">
        <x:v>WH-DLA-01</x:v>
      </x:c>
      <x:c r="D8" t="n">
        <x:v>48</x:v>
      </x:c>
      <x:c r="E8" t="n">
        <x:v>4</x:v>
      </x:c>
      <x:c r="F8" t="n">
        <x:v>44</x:v>
      </x:c>
      <x:c r="G8" t="n">
        <x:v>30</x:v>
      </x:c>
      <x:c r="H8" s="70" t="n">
        <x:v>46203</x:v>
      </x:c>
      <x:c r="I8" t="str">
        <x:v>Adequate</x:v>
      </x:c>
    </x:row>
    <x:row r="9" ht="18" customHeight="1">
      <x:c r="A9" t="str">
        <x:v>INV0005</x:v>
      </x:c>
      <x:c r="B9" t="str">
        <x:v>PRD005</x:v>
      </x:c>
      <x:c r="C9" t="str">
        <x:v>WH-YDE-01</x:v>
      </x:c>
      <x:c r="D9" t="n">
        <x:v>55</x:v>
      </x:c>
      <x:c r="E9" t="n">
        <x:v>5</x:v>
      </x:c>
      <x:c r="F9" t="n">
        <x:v>50</x:v>
      </x:c>
      <x:c r="G9" t="n">
        <x:v>35</x:v>
      </x:c>
      <x:c r="H9" s="70" t="n">
        <x:v>46203</x:v>
      </x:c>
      <x:c r="I9" t="str">
        <x:v>Adequate</x:v>
      </x:c>
    </x:row>
    <x:row r="10" ht="18" customHeight="1">
      <x:c r="A10" t="str">
        <x:v>INV0006</x:v>
      </x:c>
      <x:c r="B10" t="str">
        <x:v>PRD006</x:v>
      </x:c>
      <x:c r="C10" t="str">
        <x:v>WH-BUE-01</x:v>
      </x:c>
      <x:c r="D10" t="n">
        <x:v>62</x:v>
      </x:c>
      <x:c r="E10" t="n">
        <x:v>6</x:v>
      </x:c>
      <x:c r="F10" t="n">
        <x:v>56</x:v>
      </x:c>
      <x:c r="G10" t="n">
        <x:v>10</x:v>
      </x:c>
      <x:c r="H10" s="70" t="n">
        <x:v>46203</x:v>
      </x:c>
      <x:c r="I10" t="str">
        <x:v>Adequate</x:v>
      </x:c>
    </x:row>
    <x:row r="11" ht="18" customHeight="1">
      <x:c r="A11" t="str">
        <x:v>INV0007</x:v>
      </x:c>
      <x:c r="B11" t="str">
        <x:v>PRD007</x:v>
      </x:c>
      <x:c r="C11" t="str">
        <x:v>WH-DLA-01</x:v>
      </x:c>
      <x:c r="D11" t="n">
        <x:v>69</x:v>
      </x:c>
      <x:c r="E11" t="n">
        <x:v>7</x:v>
      </x:c>
      <x:c r="F11" t="n">
        <x:v>62</x:v>
      </x:c>
      <x:c r="G11" t="n">
        <x:v>15</x:v>
      </x:c>
      <x:c r="H11" s="70" t="n">
        <x:v>46203</x:v>
      </x:c>
      <x:c r="I11" t="str">
        <x:v>Adequate</x:v>
      </x:c>
    </x:row>
    <x:row r="12" ht="18" customHeight="1">
      <x:c r="A12" t="str">
        <x:v>INV0008</x:v>
      </x:c>
      <x:c r="B12" t="str">
        <x:v>PRD008</x:v>
      </x:c>
      <x:c r="C12" t="str">
        <x:v>WH-YDE-01</x:v>
      </x:c>
      <x:c r="D12" t="n">
        <x:v>76</x:v>
      </x:c>
      <x:c r="E12" t="n">
        <x:v>8</x:v>
      </x:c>
      <x:c r="F12" t="n">
        <x:v>68</x:v>
      </x:c>
      <x:c r="G12" t="n">
        <x:v>20</x:v>
      </x:c>
      <x:c r="H12" s="70" t="n">
        <x:v>46203</x:v>
      </x:c>
      <x:c r="I12" t="str">
        <x:v>Adequate</x:v>
      </x:c>
    </x:row>
    <x:row r="13" ht="18" customHeight="1">
      <x:c r="A13" t="str">
        <x:v>INV0009</x:v>
      </x:c>
      <x:c r="B13" t="str">
        <x:v>PRD009</x:v>
      </x:c>
      <x:c r="C13" t="str">
        <x:v>WH-BUE-01</x:v>
      </x:c>
      <x:c r="D13" t="n">
        <x:v>83</x:v>
      </x:c>
      <x:c r="E13" t="n">
        <x:v>0</x:v>
      </x:c>
      <x:c r="F13" t="n">
        <x:v>83</x:v>
      </x:c>
      <x:c r="G13" t="n">
        <x:v>25</x:v>
      </x:c>
      <x:c r="H13" s="70" t="n">
        <x:v>46203</x:v>
      </x:c>
      <x:c r="I13" t="str">
        <x:v>Adequate</x:v>
      </x:c>
    </x:row>
    <x:row r="14" ht="18" customHeight="1">
      <x:c r="A14" t="str">
        <x:v>INV0010</x:v>
      </x:c>
      <x:c r="B14" t="str">
        <x:v>PRD010</x:v>
      </x:c>
      <x:c r="C14" t="str">
        <x:v>WH-DLA-01</x:v>
      </x:c>
      <x:c r="D14" t="n">
        <x:v>90</x:v>
      </x:c>
      <x:c r="E14" t="n">
        <x:v>1</x:v>
      </x:c>
      <x:c r="F14" t="n">
        <x:v>89</x:v>
      </x:c>
      <x:c r="G14" t="n">
        <x:v>30</x:v>
      </x:c>
      <x:c r="H14" s="70" t="n">
        <x:v>46203</x:v>
      </x:c>
      <x:c r="I14" t="str">
        <x:v>Adequate</x:v>
      </x:c>
    </x:row>
    <x:row r="15" ht="18" customHeight="1">
      <x:c r="A15" t="str">
        <x:v>INV0011</x:v>
      </x:c>
      <x:c r="B15" t="str">
        <x:v>PRD011</x:v>
      </x:c>
      <x:c r="C15" t="str">
        <x:v>WH-YDE-01</x:v>
      </x:c>
      <x:c r="D15" t="n">
        <x:v>97</x:v>
      </x:c>
      <x:c r="E15" t="n">
        <x:v>2</x:v>
      </x:c>
      <x:c r="F15" t="n">
        <x:v>95</x:v>
      </x:c>
      <x:c r="G15" t="n">
        <x:v>35</x:v>
      </x:c>
      <x:c r="H15" s="70" t="n">
        <x:v>46203</x:v>
      </x:c>
      <x:c r="I15" t="str">
        <x:v>Adequate</x:v>
      </x:c>
    </x:row>
    <x:row r="16" ht="18" customHeight="1">
      <x:c r="A16" t="str">
        <x:v>INV0012</x:v>
      </x:c>
      <x:c r="B16" t="str">
        <x:v>PRD012</x:v>
      </x:c>
      <x:c r="C16" t="str">
        <x:v>WH-BUE-01</x:v>
      </x:c>
      <x:c r="D16" t="n">
        <x:v>104</x:v>
      </x:c>
      <x:c r="E16" t="n">
        <x:v>3</x:v>
      </x:c>
      <x:c r="F16" t="n">
        <x:v>101</x:v>
      </x:c>
      <x:c r="G16" t="n">
        <x:v>10</x:v>
      </x:c>
      <x:c r="H16" s="70" t="n">
        <x:v>46203</x:v>
      </x:c>
      <x:c r="I16" t="str">
        <x:v>Adequate</x:v>
      </x:c>
    </x:row>
    <x:row r="17" ht="18" customHeight="1">
      <x:c r="A17" t="str">
        <x:v>INV0013</x:v>
      </x:c>
      <x:c r="B17" t="str">
        <x:v>PRD013</x:v>
      </x:c>
      <x:c r="C17" t="str">
        <x:v>WH-DLA-01</x:v>
      </x:c>
      <x:c r="D17" t="n">
        <x:v>111</x:v>
      </x:c>
      <x:c r="E17" t="n">
        <x:v>4</x:v>
      </x:c>
      <x:c r="F17" t="n">
        <x:v>107</x:v>
      </x:c>
      <x:c r="G17" t="n">
        <x:v>15</x:v>
      </x:c>
      <x:c r="H17" s="70" t="n">
        <x:v>46203</x:v>
      </x:c>
      <x:c r="I17" t="str">
        <x:v>Adequate</x:v>
      </x:c>
    </x:row>
    <x:row r="18" ht="18" customHeight="1">
      <x:c r="A18" t="str">
        <x:v>INV0014</x:v>
      </x:c>
      <x:c r="B18" t="str">
        <x:v>PRD014</x:v>
      </x:c>
      <x:c r="C18" t="str">
        <x:v>WH-YDE-01</x:v>
      </x:c>
      <x:c r="D18" t="n">
        <x:v>118</x:v>
      </x:c>
      <x:c r="E18" t="n">
        <x:v>5</x:v>
      </x:c>
      <x:c r="F18" t="n">
        <x:v>113</x:v>
      </x:c>
      <x:c r="G18" t="n">
        <x:v>20</x:v>
      </x:c>
      <x:c r="H18" s="70" t="n">
        <x:v>46203</x:v>
      </x:c>
      <x:c r="I18" t="str">
        <x:v>Adequate</x:v>
      </x:c>
    </x:row>
    <x:row r="19" ht="18" customHeight="1">
      <x:c r="A19" t="str">
        <x:v>INV0015</x:v>
      </x:c>
      <x:c r="B19" t="str">
        <x:v>PRD015</x:v>
      </x:c>
      <x:c r="C19" t="str">
        <x:v>WH-BUE-01</x:v>
      </x:c>
      <x:c r="D19" t="n">
        <x:v>125</x:v>
      </x:c>
      <x:c r="E19" t="n">
        <x:v>6</x:v>
      </x:c>
      <x:c r="F19" t="n">
        <x:v>119</x:v>
      </x:c>
      <x:c r="G19" t="n">
        <x:v>25</x:v>
      </x:c>
      <x:c r="H19" s="70" t="n">
        <x:v>46203</x:v>
      </x:c>
      <x:c r="I19" t="str">
        <x:v>Adequate</x:v>
      </x:c>
    </x:row>
    <x:row r="20" ht="18" customHeight="1">
      <x:c r="A20" t="str">
        <x:v>INV0016</x:v>
      </x:c>
      <x:c r="B20" t="str">
        <x:v>PRD016</x:v>
      </x:c>
      <x:c r="C20" t="str">
        <x:v>WH-DLA-01</x:v>
      </x:c>
      <x:c r="D20" t="n">
        <x:v>132</x:v>
      </x:c>
      <x:c r="E20" t="n">
        <x:v>7</x:v>
      </x:c>
      <x:c r="F20" t="n">
        <x:v>125</x:v>
      </x:c>
      <x:c r="G20" t="n">
        <x:v>30</x:v>
      </x:c>
      <x:c r="H20" s="70" t="n">
        <x:v>46203</x:v>
      </x:c>
      <x:c r="I20" t="str">
        <x:v>Adequate</x:v>
      </x:c>
    </x:row>
    <x:row r="21" ht="18" customHeight="1">
      <x:c r="A21" t="str">
        <x:v>INV0017</x:v>
      </x:c>
      <x:c r="B21" t="str">
        <x:v>PRD017</x:v>
      </x:c>
      <x:c r="C21" t="str">
        <x:v>WH-YDE-01</x:v>
      </x:c>
      <x:c r="D21" t="n">
        <x:v>139</x:v>
      </x:c>
      <x:c r="E21" t="n">
        <x:v>8</x:v>
      </x:c>
      <x:c r="F21" t="n">
        <x:v>131</x:v>
      </x:c>
      <x:c r="G21" t="n">
        <x:v>35</x:v>
      </x:c>
      <x:c r="H21" s="70" t="n">
        <x:v>46203</x:v>
      </x:c>
      <x:c r="I21" t="str">
        <x:v>Adequate</x:v>
      </x:c>
    </x:row>
    <x:row r="22" ht="18" customHeight="1">
      <x:c r="A22" t="str">
        <x:v>INV0018</x:v>
      </x:c>
      <x:c r="B22" t="str">
        <x:v>PRD018</x:v>
      </x:c>
      <x:c r="C22" t="str">
        <x:v>WH-BUE-01</x:v>
      </x:c>
      <x:c r="D22" t="n">
        <x:v>146</x:v>
      </x:c>
      <x:c r="E22" t="n">
        <x:v>0</x:v>
      </x:c>
      <x:c r="F22" t="n">
        <x:v>146</x:v>
      </x:c>
      <x:c r="G22" t="n">
        <x:v>10</x:v>
      </x:c>
      <x:c r="H22" s="70" t="n">
        <x:v>46203</x:v>
      </x:c>
      <x:c r="I22" t="str">
        <x:v>Adequate</x:v>
      </x:c>
    </x:row>
    <x:row r="23" ht="18" customHeight="1">
      <x:c r="A23" t="str">
        <x:v>INV0019</x:v>
      </x:c>
      <x:c r="B23" t="str">
        <x:v>PRD019</x:v>
      </x:c>
      <x:c r="C23" t="str">
        <x:v>WH-DLA-01</x:v>
      </x:c>
      <x:c r="D23" t="n">
        <x:v>153</x:v>
      </x:c>
      <x:c r="E23" t="n">
        <x:v>1</x:v>
      </x:c>
      <x:c r="F23" t="n">
        <x:v>152</x:v>
      </x:c>
      <x:c r="G23" t="n">
        <x:v>15</x:v>
      </x:c>
      <x:c r="H23" s="70" t="n">
        <x:v>46203</x:v>
      </x:c>
      <x:c r="I23" t="str">
        <x:v>Adequate</x:v>
      </x:c>
    </x:row>
    <x:row r="24" ht="18" customHeight="1">
      <x:c r="A24" t="str">
        <x:v>INV0020</x:v>
      </x:c>
      <x:c r="B24" t="str">
        <x:v>PRD020</x:v>
      </x:c>
      <x:c r="C24" t="str">
        <x:v>WH-YDE-01</x:v>
      </x:c>
      <x:c r="D24" t="n">
        <x:v>160</x:v>
      </x:c>
      <x:c r="E24" t="n">
        <x:v>2</x:v>
      </x:c>
      <x:c r="F24" t="n">
        <x:v>158</x:v>
      </x:c>
      <x:c r="G24" t="n">
        <x:v>20</x:v>
      </x:c>
      <x:c r="H24" s="70" t="n">
        <x:v>46203</x:v>
      </x:c>
      <x:c r="I24" t="str">
        <x:v>Adequate</x:v>
      </x:c>
    </x:row>
    <x:row r="25" ht="18" customHeight="1">
      <x:c r="A25" t="str">
        <x:v>INV0021</x:v>
      </x:c>
      <x:c r="B25" t="str">
        <x:v>PRD021</x:v>
      </x:c>
      <x:c r="C25" t="str">
        <x:v>WH-BUE-01</x:v>
      </x:c>
      <x:c r="D25" t="n">
        <x:v>167</x:v>
      </x:c>
      <x:c r="E25" t="n">
        <x:v>3</x:v>
      </x:c>
      <x:c r="F25" t="n">
        <x:v>164</x:v>
      </x:c>
      <x:c r="G25" t="n">
        <x:v>25</x:v>
      </x:c>
      <x:c r="H25" s="70" t="n">
        <x:v>46203</x:v>
      </x:c>
      <x:c r="I25" t="str">
        <x:v>Adequate</x:v>
      </x:c>
    </x:row>
    <x:row r="26" ht="18" customHeight="1">
      <x:c r="A26" t="str">
        <x:v>INV0022</x:v>
      </x:c>
      <x:c r="B26" t="str">
        <x:v>PRD022</x:v>
      </x:c>
      <x:c r="C26" t="str">
        <x:v>WH-DLA-01</x:v>
      </x:c>
      <x:c r="D26" t="n">
        <x:v>174</x:v>
      </x:c>
      <x:c r="E26" t="n">
        <x:v>4</x:v>
      </x:c>
      <x:c r="F26" t="n">
        <x:v>170</x:v>
      </x:c>
      <x:c r="G26" t="n">
        <x:v>30</x:v>
      </x:c>
      <x:c r="H26" s="70" t="n">
        <x:v>46203</x:v>
      </x:c>
      <x:c r="I26" t="str">
        <x:v>Adequate</x:v>
      </x:c>
    </x:row>
    <x:row r="27" ht="18" customHeight="1">
      <x:c r="A27" t="str">
        <x:v>INV0023</x:v>
      </x:c>
      <x:c r="B27" t="str">
        <x:v>PRD023</x:v>
      </x:c>
      <x:c r="C27" t="str">
        <x:v>WH-YDE-01</x:v>
      </x:c>
      <x:c r="D27" t="n">
        <x:v>181</x:v>
      </x:c>
      <x:c r="E27" t="n">
        <x:v>5</x:v>
      </x:c>
      <x:c r="F27" t="n">
        <x:v>176</x:v>
      </x:c>
      <x:c r="G27" t="n">
        <x:v>35</x:v>
      </x:c>
      <x:c r="H27" s="70" t="n">
        <x:v>46203</x:v>
      </x:c>
      <x:c r="I27" t="str">
        <x:v>Adequate</x:v>
      </x:c>
    </x:row>
    <x:row r="28" ht="18" customHeight="1">
      <x:c r="A28" t="str">
        <x:v>INV0024</x:v>
      </x:c>
      <x:c r="B28" t="str">
        <x:v>PRD024</x:v>
      </x:c>
      <x:c r="C28" t="str">
        <x:v>WH-BUE-01</x:v>
      </x:c>
      <x:c r="D28" t="n">
        <x:v>188</x:v>
      </x:c>
      <x:c r="E28" t="n">
        <x:v>6</x:v>
      </x:c>
      <x:c r="F28" t="n">
        <x:v>182</x:v>
      </x:c>
      <x:c r="G28" t="n">
        <x:v>10</x:v>
      </x:c>
      <x:c r="H28" s="70" t="n">
        <x:v>46203</x:v>
      </x:c>
      <x:c r="I28" t="str">
        <x:v>Adequate</x:v>
      </x:c>
    </x:row>
    <x:row r="29" ht="18" customHeight="1">
      <x:c r="A29" t="str">
        <x:v>INV0025</x:v>
      </x:c>
      <x:c r="B29" t="str">
        <x:v>PRD025</x:v>
      </x:c>
      <x:c r="C29" t="str">
        <x:v>WH-DLA-01</x:v>
      </x:c>
      <x:c r="D29" t="n">
        <x:v>195</x:v>
      </x:c>
      <x:c r="E29" t="n">
        <x:v>7</x:v>
      </x:c>
      <x:c r="F29" t="n">
        <x:v>188</x:v>
      </x:c>
      <x:c r="G29" t="n">
        <x:v>15</x:v>
      </x:c>
      <x:c r="H29" s="70" t="n">
        <x:v>46203</x:v>
      </x:c>
      <x:c r="I29" t="str">
        <x:v>Adequate</x:v>
      </x:c>
    </x:row>
    <x:row r="30" ht="18" customHeight="1">
      <x:c r="A30" t="str">
        <x:v>INV0026</x:v>
      </x:c>
      <x:c r="B30" t="str">
        <x:v>PRD026</x:v>
      </x:c>
      <x:c r="C30" t="str">
        <x:v>WH-YDE-01</x:v>
      </x:c>
      <x:c r="D30" t="n">
        <x:v>22</x:v>
      </x:c>
      <x:c r="E30" t="n">
        <x:v>8</x:v>
      </x:c>
      <x:c r="F30" t="n">
        <x:v>14</x:v>
      </x:c>
      <x:c r="G30" t="n">
        <x:v>20</x:v>
      </x:c>
      <x:c r="H30" s="70" t="n">
        <x:v>46203</x:v>
      </x:c>
      <x:c r="I30" t="str">
        <x:v>Reorder Required</x:v>
      </x:c>
    </x:row>
    <x:row r="31" ht="18" customHeight="1">
      <x:c r="A31" t="str">
        <x:v>INV0027</x:v>
      </x:c>
      <x:c r="B31" t="str">
        <x:v>PRD027</x:v>
      </x:c>
      <x:c r="C31" t="str">
        <x:v>WH-BUE-01</x:v>
      </x:c>
      <x:c r="D31" t="n">
        <x:v>29</x:v>
      </x:c>
      <x:c r="E31" t="n">
        <x:v>0</x:v>
      </x:c>
      <x:c r="F31" t="n">
        <x:v>29</x:v>
      </x:c>
      <x:c r="G31" t="n">
        <x:v>25</x:v>
      </x:c>
      <x:c r="H31" s="70" t="n">
        <x:v>46203</x:v>
      </x:c>
      <x:c r="I31" t="str">
        <x:v>Adequate</x:v>
      </x:c>
    </x:row>
    <x:row r="32" ht="18" customHeight="1">
      <x:c r="A32" t="str">
        <x:v>INV0028</x:v>
      </x:c>
      <x:c r="B32" t="str">
        <x:v>PRD028</x:v>
      </x:c>
      <x:c r="C32" t="str">
        <x:v>WH-DLA-01</x:v>
      </x:c>
      <x:c r="D32" t="n">
        <x:v>36</x:v>
      </x:c>
      <x:c r="E32" t="n">
        <x:v>1</x:v>
      </x:c>
      <x:c r="F32" t="n">
        <x:v>35</x:v>
      </x:c>
      <x:c r="G32" t="n">
        <x:v>30</x:v>
      </x:c>
      <x:c r="H32" s="70" t="n">
        <x:v>46203</x:v>
      </x:c>
      <x:c r="I32" t="str">
        <x:v>Adequate</x:v>
      </x:c>
    </x:row>
    <x:row r="33" ht="18" customHeight="1">
      <x:c r="A33" t="str">
        <x:v>INV0029</x:v>
      </x:c>
      <x:c r="B33" t="str">
        <x:v>PRD029</x:v>
      </x:c>
      <x:c r="C33" t="str">
        <x:v>WH-YDE-01</x:v>
      </x:c>
      <x:c r="D33" t="n">
        <x:v>43</x:v>
      </x:c>
      <x:c r="E33" t="n">
        <x:v>2</x:v>
      </x:c>
      <x:c r="F33" t="n">
        <x:v>41</x:v>
      </x:c>
      <x:c r="G33" t="n">
        <x:v>35</x:v>
      </x:c>
      <x:c r="H33" s="70" t="n">
        <x:v>46203</x:v>
      </x:c>
      <x:c r="I33" t="str">
        <x:v>Adequate</x:v>
      </x:c>
    </x:row>
    <x:row r="34" ht="18" customHeight="1">
      <x:c r="A34" t="str">
        <x:v>INV0030</x:v>
      </x:c>
      <x:c r="B34" t="str">
        <x:v>PRD030</x:v>
      </x:c>
      <x:c r="C34" t="str">
        <x:v>WH-BUE-01</x:v>
      </x:c>
      <x:c r="D34" t="n">
        <x:v>50</x:v>
      </x:c>
      <x:c r="E34" t="n">
        <x:v>3</x:v>
      </x:c>
      <x:c r="F34" t="n">
        <x:v>47</x:v>
      </x:c>
      <x:c r="G34" t="n">
        <x:v>10</x:v>
      </x:c>
      <x:c r="H34" s="70" t="n">
        <x:v>46203</x:v>
      </x:c>
      <x:c r="I34" t="str">
        <x:v>Adequate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7afff27a58c64a1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.8799991607666" hidden="0" customWidth="1"/>
    <x:col min="5" max="5" width="17.1299991607666" hidden="0" customWidth="1"/>
    <x:col min="6" max="6" width="17.1299991607666" hidden="0" customWidth="1"/>
    <x:col min="7" max="7" width="13.5" hidden="0" customWidth="1"/>
    <x:col min="8" max="8" width="16" hidden="0" customWidth="1"/>
    <x:col min="9" max="9" width="18" hidden="0" customWidth="1"/>
  </x:cols>
  <x:sheetData>
    <x:row r="1" ht="30" customHeight="1">
      <x:c r="A1" s="5" t="str">
        <x:v>Inventory — Messy Practice Data</x:v>
      </x:c>
    </x:row>
    <x:row r="3">
      <x:c r="A3" s="82" t="str">
        <x:v>INTENTIONALLY MESSY DATASET — FOR CLEANING PRACTICE</x:v>
      </x:c>
    </x:row>
    <x:row r="4">
      <x:c r="A4" s="51" t="str">
        <x:v>Inventory ID</x:v>
      </x:c>
      <x:c r="B4" s="52" t="str">
        <x:v>Product ID</x:v>
      </x:c>
      <x:c r="C4" s="52" t="str">
        <x:v>Warehouse</x:v>
      </x:c>
      <x:c r="D4" s="52" t="str">
        <x:v>Quantity On Hand</x:v>
      </x:c>
      <x:c r="E4" s="52" t="str">
        <x:v>Quantity Reserved</x:v>
      </x:c>
      <x:c r="F4" s="52" t="str">
        <x:v>Quantity Available</x:v>
      </x:c>
      <x:c r="G4" s="52" t="str">
        <x:v>Reorder Level</x:v>
      </x:c>
      <x:c r="H4" s="52" t="str">
        <x:v>Last Stock Count</x:v>
      </x:c>
      <x:c r="I4" s="53" t="str">
        <x:v>Stock Status</x:v>
      </x:c>
    </x:row>
    <x:row r="5" ht="18" customHeight="1">
      <x:c r="A5" t="str">
        <x:v>INV0001</x:v>
      </x:c>
      <x:c r="B5" t="str">
        <x:v>PRD001</x:v>
      </x:c>
      <x:c r="C5" t="str">
        <x:v>WH-DLA-01</x:v>
      </x:c>
      <x:c r="D5" t="n">
        <x:v>27</x:v>
      </x:c>
      <x:c r="E5" t="n">
        <x:v>1</x:v>
      </x:c>
      <x:c r="F5" t="n">
        <x:v>26</x:v>
      </x:c>
      <x:c r="G5" t="n">
        <x:v>15</x:v>
      </x:c>
      <x:c r="H5" t="n">
        <x:v>46203</x:v>
      </x:c>
      <x:c r="I5" t="str">
        <x:v>Adequate</x:v>
      </x:c>
    </x:row>
    <x:row r="6" ht="18" customHeight="1">
      <x:c r="A6" t="str">
        <x:v>INV0002</x:v>
      </x:c>
      <x:c r="B6" t="str">
        <x:v>PRD002 </x:v>
      </x:c>
      <x:c r="C6" t="str">
        <x:v>WH-YDE-01</x:v>
      </x:c>
      <x:c r="D6" t="n">
        <x:v>34</x:v>
      </x:c>
      <x:c r="E6" t="n">
        <x:v>2</x:v>
      </x:c>
      <x:c r="F6" t="n">
        <x:v>32</x:v>
      </x:c>
      <x:c r="G6" t="n">
        <x:v>20</x:v>
      </x:c>
      <x:c r="H6" t="n">
        <x:v>46203</x:v>
      </x:c>
      <x:c r="I6" t="str">
        <x:v>Adequate</x:v>
      </x:c>
    </x:row>
    <x:row r="7" ht="18" customHeight="1">
      <x:c r="A7" t="str">
        <x:v>INV0003</x:v>
      </x:c>
      <x:c r="B7" t="str">
        <x:v>PRD003</x:v>
      </x:c>
      <x:c r="C7" t="str">
        <x:v>WH-BUE-01</x:v>
      </x:c>
      <x:c r="D7" t="n">
        <x:v>41</x:v>
      </x:c>
      <x:c r="E7" t="n">
        <x:v>3</x:v>
      </x:c>
      <x:c r="F7" t="n">
        <x:v>38</x:v>
      </x:c>
      <x:c r="G7" t="n">
        <x:v>25</x:v>
      </x:c>
      <x:c r="H7" t="n">
        <x:v>46203</x:v>
      </x:c>
      <x:c r="I7" t="str">
        <x:v>Adequate</x:v>
      </x:c>
    </x:row>
    <x:row r="8" ht="18" customHeight="1">
      <x:c r="A8" t="str">
        <x:v>INV0004</x:v>
      </x:c>
      <x:c r="B8" t="str">
        <x:v>PRD004</x:v>
      </x:c>
      <x:c r="C8" t="str">
        <x:v>wh-dla-01</x:v>
      </x:c>
      <x:c r="D8" t="n">
        <x:v>48</x:v>
      </x:c>
      <x:c r="E8" t="n">
        <x:v>4</x:v>
      </x:c>
      <x:c r="F8" t="n">
        <x:v>44</x:v>
      </x:c>
      <x:c r="G8" t="n">
        <x:v>30</x:v>
      </x:c>
      <x:c r="H8" t="n">
        <x:v>46203</x:v>
      </x:c>
      <x:c r="I8" t="str">
        <x:v>Adequate</x:v>
      </x:c>
    </x:row>
    <x:row r="9" ht="18" customHeight="1">
      <x:c r="A9" t="str">
        <x:v>INV0005</x:v>
      </x:c>
      <x:c r="B9" t="str">
        <x:v>PRD005</x:v>
      </x:c>
      <x:c r="C9" t="str">
        <x:v>WH-YDE-01</x:v>
      </x:c>
      <x:c r="D9" t="n">
        <x:v>55</x:v>
      </x:c>
      <x:c r="E9" t="n">
        <x:v>5</x:v>
      </x:c>
      <x:c r="F9" t="n">
        <x:v>50</x:v>
      </x:c>
      <x:c r="G9" t="n">
        <x:v>35</x:v>
      </x:c>
      <x:c r="H9" t="n">
        <x:v>46203</x:v>
      </x:c>
      <x:c r="I9" t="str">
        <x:v>Adequate</x:v>
      </x:c>
    </x:row>
    <x:row r="10" ht="18" customHeight="1">
      <x:c r="A10" t="str">
        <x:v>INV0006</x:v>
      </x:c>
      <x:c r="B10" t="str">
        <x:v>PRD006</x:v>
      </x:c>
      <x:c r="C10" t="str">
        <x:v>WH-BUE-01</x:v>
      </x:c>
      <x:c r="D10" t="n">
        <x:v>62</x:v>
      </x:c>
      <x:c r="E10" t="n">
        <x:v>6</x:v>
      </x:c>
      <x:c r="F10" t="n">
        <x:v>56</x:v>
      </x:c>
      <x:c r="G10" t="n">
        <x:v>10</x:v>
      </x:c>
      <x:c r="H10" t="n">
        <x:v>46203</x:v>
      </x:c>
      <x:c r="I10" t="str">
        <x:v>Adequate</x:v>
      </x:c>
    </x:row>
    <x:row r="11" ht="18" customHeight="1">
      <x:c r="A11" t="str">
        <x:v>INV0007</x:v>
      </x:c>
      <x:c r="B11" t="str">
        <x:v>PRD007</x:v>
      </x:c>
      <x:c r="C11" t="str">
        <x:v>WH-DLA-01</x:v>
      </x:c>
      <x:c r="D11" t="n">
        <x:v>-10</x:v>
      </x:c>
      <x:c r="E11" t="n">
        <x:v>7</x:v>
      </x:c>
      <x:c r="F11" t="n">
        <x:v>62</x:v>
      </x:c>
      <x:c r="G11" t="n">
        <x:v>15</x:v>
      </x:c>
      <x:c r="H11" t="n">
        <x:v>46203</x:v>
      </x:c>
      <x:c r="I11" t="str">
        <x:v>Adequate</x:v>
      </x:c>
    </x:row>
    <x:row r="12" ht="18" customHeight="1">
      <x:c r="A12" t="str">
        <x:v>INV0008</x:v>
      </x:c>
      <x:c r="B12" t="str">
        <x:v>PRD008</x:v>
      </x:c>
      <x:c r="C12" t="str">
        <x:v>WH-YDE-01</x:v>
      </x:c>
      <x:c r="D12" t="n">
        <x:v>76</x:v>
      </x:c>
      <x:c r="E12" t="n">
        <x:v>8</x:v>
      </x:c>
      <x:c r="F12" t="n">
        <x:v>68</x:v>
      </x:c>
      <x:c r="G12" t="n">
        <x:v>20</x:v>
      </x:c>
      <x:c r="H12" t="n">
        <x:v>46203</x:v>
      </x:c>
      <x:c r="I12" t="str">
        <x:v>Adequate</x:v>
      </x:c>
    </x:row>
    <x:row r="13" ht="18" customHeight="1">
      <x:c r="A13" t="str">
        <x:v>INV0009</x:v>
      </x:c>
      <x:c r="B13" t="str">
        <x:v>PRD009</x:v>
      </x:c>
      <x:c r="C13" t="str">
        <x:v>WH-BUE-01</x:v>
      </x:c>
      <x:c r="D13" t="n">
        <x:v>83</x:v>
      </x:c>
      <x:c r="E13" t="n">
        <x:v>0</x:v>
      </x:c>
      <x:c r="F13" t="n">
        <x:v>83</x:v>
      </x:c>
      <x:c r="G13" t="n">
        <x:v>25</x:v>
      </x:c>
      <x:c r="H13" t="n">
        <x:v>46203</x:v>
      </x:c>
      <x:c r="I13" t="str">
        <x:v>Adequate</x:v>
      </x:c>
    </x:row>
    <x:row r="14" ht="18" customHeight="1">
      <x:c r="A14" t="str">
        <x:v>INV0010</x:v>
      </x:c>
      <x:c r="B14" t="str">
        <x:v>PRD010</x:v>
      </x:c>
      <x:c r="C14" t="str">
        <x:v>WH-DLA-01</x:v>
      </x:c>
      <x:c r="D14" t="n">
        <x:v>90</x:v>
      </x:c>
      <x:c r="E14" t="n">
        <x:v>500</x:v>
      </x:c>
      <x:c r="F14" t="n">
        <x:v>89</x:v>
      </x:c>
      <x:c r="G14" t="n">
        <x:v>30</x:v>
      </x:c>
      <x:c r="H14" t="n">
        <x:v>46203</x:v>
      </x:c>
      <x:c r="I14" t="str">
        <x:v>Adequate</x:v>
      </x:c>
    </x:row>
    <x:row r="15" ht="18" customHeight="1">
      <x:c r="A15" t="str">
        <x:v>INV0011</x:v>
      </x:c>
      <x:c r="B15" t="str">
        <x:v>PRD011</x:v>
      </x:c>
      <x:c r="C15" t="str">
        <x:v>WH-YDE-01</x:v>
      </x:c>
      <x:c r="D15" t="n">
        <x:v>97</x:v>
      </x:c>
      <x:c r="E15" t="n">
        <x:v>2</x:v>
      </x:c>
      <x:c r="F15" t="n">
        <x:v>95</x:v>
      </x:c>
      <x:c r="G15" t="n">
        <x:v>35</x:v>
      </x:c>
      <x:c r="H15" t="n">
        <x:v>46203</x:v>
      </x:c>
      <x:c r="I15" t="str">
        <x:v>Adequate</x:v>
      </x:c>
    </x:row>
    <x:row r="16" ht="18" customHeight="1">
      <x:c r="A16" t="str">
        <x:v>INV0012</x:v>
      </x:c>
      <x:c r="B16" t="str">
        <x:v>PRD012</x:v>
      </x:c>
      <x:c r="C16" t="str">
        <x:v>WH-BUE-01</x:v>
      </x:c>
      <x:c r="D16" t="n">
        <x:v>104</x:v>
      </x:c>
      <x:c r="E16" t="n">
        <x:v>3</x:v>
      </x:c>
      <x:c r="F16" t="n">
        <x:v>101</x:v>
      </x:c>
      <x:c r="G16" t="n">
        <x:v>10</x:v>
      </x:c>
      <x:c r="H16" t="n">
        <x:v>46203</x:v>
      </x:c>
      <x:c r="I16" t="str">
        <x:v>Adequate</x:v>
      </x:c>
    </x:row>
    <x:row r="17" ht="18" customHeight="1">
      <x:c r="A17" t="str">
        <x:v>INV0013</x:v>
      </x:c>
      <x:c r="B17" t="str">
        <x:v>PRD013</x:v>
      </x:c>
      <x:c r="C17" t="str">
        <x:v>WH-DLA-01</x:v>
      </x:c>
      <x:c r="D17" t="n">
        <x:v>111</x:v>
      </x:c>
      <x:c r="E17" t="n">
        <x:v>4</x:v>
      </x:c>
      <x:c r="F17" t="str"/>
      <x:c r="G17" t="n">
        <x:v>15</x:v>
      </x:c>
      <x:c r="H17" t="n">
        <x:v>46203</x:v>
      </x:c>
      <x:c r="I17" t="str">
        <x:v>Adequate</x:v>
      </x:c>
    </x:row>
    <x:row r="18" ht="18" customHeight="1">
      <x:c r="A18" t="str">
        <x:v>INV0014</x:v>
      </x:c>
      <x:c r="B18" t="str">
        <x:v>PRD014</x:v>
      </x:c>
      <x:c r="C18" t="str">
        <x:v>WH-YDE-01</x:v>
      </x:c>
      <x:c r="D18" t="n">
        <x:v>118</x:v>
      </x:c>
      <x:c r="E18" t="n">
        <x:v>5</x:v>
      </x:c>
      <x:c r="F18" t="n">
        <x:v>113</x:v>
      </x:c>
      <x:c r="G18" t="n">
        <x:v>20</x:v>
      </x:c>
      <x:c r="H18" t="n">
        <x:v>46203</x:v>
      </x:c>
      <x:c r="I18" t="str">
        <x:v>Adequate</x:v>
      </x:c>
    </x:row>
    <x:row r="19" ht="18" customHeight="1">
      <x:c r="A19" t="str">
        <x:v>INV0015</x:v>
      </x:c>
      <x:c r="B19" t="str">
        <x:v>PRD015</x:v>
      </x:c>
      <x:c r="C19" t="str">
        <x:v>WH-BUE-01</x:v>
      </x:c>
      <x:c r="D19" t="n">
        <x:v>125</x:v>
      </x:c>
      <x:c r="E19" t="n">
        <x:v>6</x:v>
      </x:c>
      <x:c r="F19" t="n">
        <x:v>119</x:v>
      </x:c>
      <x:c r="G19" t="n">
        <x:v>25</x:v>
      </x:c>
      <x:c r="H19" t="n">
        <x:v>46203</x:v>
      </x:c>
      <x:c r="I19" t="str">
        <x:v>Adequate</x:v>
      </x:c>
    </x:row>
    <x:row r="20" ht="18" customHeight="1">
      <x:c r="A20" t="str">
        <x:v>INV0016</x:v>
      </x:c>
      <x:c r="B20" t="str">
        <x:v>PRD016</x:v>
      </x:c>
      <x:c r="C20" t="str">
        <x:v>WH-DLA-01</x:v>
      </x:c>
      <x:c r="D20" t="n">
        <x:v>132</x:v>
      </x:c>
      <x:c r="E20" t="n">
        <x:v>7</x:v>
      </x:c>
      <x:c r="F20" t="n">
        <x:v>125</x:v>
      </x:c>
      <x:c r="G20" t="str">
        <x:v>twenty</x:v>
      </x:c>
      <x:c r="H20" t="n">
        <x:v>46203</x:v>
      </x:c>
      <x:c r="I20" t="str">
        <x:v>Adequate</x:v>
      </x:c>
    </x:row>
    <x:row r="21" ht="18" customHeight="1">
      <x:c r="A21" t="str">
        <x:v>INV0017</x:v>
      </x:c>
      <x:c r="B21" t="str">
        <x:v>PRD017</x:v>
      </x:c>
      <x:c r="C21" t="str">
        <x:v>WH-YDE-01</x:v>
      </x:c>
      <x:c r="D21" t="n">
        <x:v>139</x:v>
      </x:c>
      <x:c r="E21" t="n">
        <x:v>8</x:v>
      </x:c>
      <x:c r="F21" t="n">
        <x:v>131</x:v>
      </x:c>
      <x:c r="G21" t="n">
        <x:v>35</x:v>
      </x:c>
      <x:c r="H21" t="n">
        <x:v>46203</x:v>
      </x:c>
      <x:c r="I21" t="str">
        <x:v>Adequate</x:v>
      </x:c>
    </x:row>
    <x:row r="22" ht="18" customHeight="1">
      <x:c r="A22" t="str">
        <x:v>INV0018</x:v>
      </x:c>
      <x:c r="B22" t="str">
        <x:v>PRD018</x:v>
      </x:c>
      <x:c r="C22" t="str">
        <x:v>WH-BUE-01</x:v>
      </x:c>
      <x:c r="D22" t="n">
        <x:v>146</x:v>
      </x:c>
      <x:c r="E22" t="n">
        <x:v>0</x:v>
      </x:c>
      <x:c r="F22" t="n">
        <x:v>146</x:v>
      </x:c>
      <x:c r="G22" t="n">
        <x:v>10</x:v>
      </x:c>
      <x:c r="H22" t="n">
        <x:v>46203</x:v>
      </x:c>
      <x:c r="I22" t="str">
        <x:v>Adequate</x:v>
      </x:c>
    </x:row>
    <x:row r="23" ht="18" customHeight="1">
      <x:c r="A23" t="str">
        <x:v>INV0019</x:v>
      </x:c>
      <x:c r="B23" t="str">
        <x:v>PRD019</x:v>
      </x:c>
      <x:c r="C23" t="str">
        <x:v>WH-DLA-01</x:v>
      </x:c>
      <x:c r="D23" t="n">
        <x:v>153</x:v>
      </x:c>
      <x:c r="E23" t="n">
        <x:v>1</x:v>
      </x:c>
      <x:c r="F23" t="n">
        <x:v>152</x:v>
      </x:c>
      <x:c r="G23" t="n">
        <x:v>15</x:v>
      </x:c>
      <x:c r="H23" t="str">
        <x:v>30/06/26</x:v>
      </x:c>
      <x:c r="I23" t="str">
        <x:v>Adequate</x:v>
      </x:c>
    </x:row>
    <x:row r="24" ht="18" customHeight="1">
      <x:c r="A24" t="str">
        <x:v>INV0020</x:v>
      </x:c>
      <x:c r="B24" t="str">
        <x:v>PRD020</x:v>
      </x:c>
      <x:c r="C24" t="str">
        <x:v>WH-YDE-01</x:v>
      </x:c>
      <x:c r="D24" t="n">
        <x:v>160</x:v>
      </x:c>
      <x:c r="E24" t="n">
        <x:v>2</x:v>
      </x:c>
      <x:c r="F24" t="n">
        <x:v>158</x:v>
      </x:c>
      <x:c r="G24" t="n">
        <x:v>20</x:v>
      </x:c>
      <x:c r="H24" t="n">
        <x:v>46203</x:v>
      </x:c>
      <x:c r="I24" t="str">
        <x:v>Adequate</x:v>
      </x:c>
    </x:row>
    <x:row r="25" ht="18" customHeight="1">
      <x:c r="A25" t="str">
        <x:v>INV0021</x:v>
      </x:c>
      <x:c r="B25" t="str">
        <x:v>PRD021</x:v>
      </x:c>
      <x:c r="C25" t="str">
        <x:v>WH-BUE-01</x:v>
      </x:c>
      <x:c r="D25" t="n">
        <x:v>167</x:v>
      </x:c>
      <x:c r="E25" t="n">
        <x:v>3</x:v>
      </x:c>
      <x:c r="F25" t="n">
        <x:v>164</x:v>
      </x:c>
      <x:c r="G25" t="n">
        <x:v>25</x:v>
      </x:c>
      <x:c r="H25" t="n">
        <x:v>46203</x:v>
      </x:c>
      <x:c r="I25" t="str">
        <x:v>adequate </x:v>
      </x:c>
    </x:row>
    <x:row r="26" ht="18" customHeight="1">
      <x:c r="A26" t="str">
        <x:v>INV0022</x:v>
      </x:c>
      <x:c r="B26" t="str">
        <x:v>PRD022</x:v>
      </x:c>
      <x:c r="C26" t="str">
        <x:v>WH-DLA-01</x:v>
      </x:c>
      <x:c r="D26" t="n">
        <x:v>174</x:v>
      </x:c>
      <x:c r="E26" t="n">
        <x:v>4</x:v>
      </x:c>
      <x:c r="F26" t="n">
        <x:v>170</x:v>
      </x:c>
      <x:c r="G26" t="n">
        <x:v>30</x:v>
      </x:c>
      <x:c r="H26" t="n">
        <x:v>46203</x:v>
      </x:c>
      <x:c r="I26" t="str">
        <x:v>Adequate</x:v>
      </x:c>
    </x:row>
    <x:row r="27" ht="18" customHeight="1">
      <x:c r="A27" t="str">
        <x:v>INV0023</x:v>
      </x:c>
      <x:c r="B27" t="str">
        <x:v>PRD023</x:v>
      </x:c>
      <x:c r="C27" t="str">
        <x:v>WH-YDE-01</x:v>
      </x:c>
      <x:c r="D27" t="n">
        <x:v>181</x:v>
      </x:c>
      <x:c r="E27" t="n">
        <x:v>5</x:v>
      </x:c>
      <x:c r="F27" t="n">
        <x:v>176</x:v>
      </x:c>
      <x:c r="G27" t="n">
        <x:v>35</x:v>
      </x:c>
      <x:c r="H27" t="n">
        <x:v>46203</x:v>
      </x:c>
      <x:c r="I27" t="str">
        <x:v>Adequate</x:v>
      </x:c>
    </x:row>
    <x:row r="28" ht="18" customHeight="1">
      <x:c r="A28" t="str">
        <x:v>INV0024</x:v>
      </x:c>
      <x:c r="B28" t="str">
        <x:v>PRD024</x:v>
      </x:c>
      <x:c r="C28" t="str">
        <x:v>WH-YDE-1</x:v>
      </x:c>
      <x:c r="D28" t="n">
        <x:v>188</x:v>
      </x:c>
      <x:c r="E28" t="n">
        <x:v>6</x:v>
      </x:c>
      <x:c r="F28" t="n">
        <x:v>182</x:v>
      </x:c>
      <x:c r="G28" t="n">
        <x:v>10</x:v>
      </x:c>
      <x:c r="H28" t="n">
        <x:v>46203</x:v>
      </x:c>
      <x:c r="I28" t="str">
        <x:v>Adequate</x:v>
      </x:c>
    </x:row>
    <x:row r="29" ht="18" customHeight="1">
      <x:c r="A29" t="str">
        <x:v>INV0025</x:v>
      </x:c>
      <x:c r="B29" t="str">
        <x:v>PRD025</x:v>
      </x:c>
      <x:c r="C29" t="str">
        <x:v>WH-DLA-01</x:v>
      </x:c>
      <x:c r="D29" t="n">
        <x:v>195</x:v>
      </x:c>
      <x:c r="E29" t="n">
        <x:v>7</x:v>
      </x:c>
      <x:c r="F29" t="n">
        <x:v>188</x:v>
      </x:c>
      <x:c r="G29" t="n">
        <x:v>15</x:v>
      </x:c>
      <x:c r="H29" t="n">
        <x:v>46203</x:v>
      </x:c>
      <x:c r="I29" t="str">
        <x:v>Adequate</x:v>
      </x:c>
    </x:row>
    <x:row r="30" ht="18" customHeight="1">
      <x:c r="A30" t="str">
        <x:v>INV0026</x:v>
      </x:c>
      <x:c r="B30" t="str">
        <x:v>PRD026</x:v>
      </x:c>
      <x:c r="C30" t="str">
        <x:v>WH-YDE-01</x:v>
      </x:c>
      <x:c r="D30" t="n">
        <x:v>22</x:v>
      </x:c>
      <x:c r="E30" t="n">
        <x:v>8</x:v>
      </x:c>
      <x:c r="F30" t="n">
        <x:v>14</x:v>
      </x:c>
      <x:c r="G30" t="n">
        <x:v>20</x:v>
      </x:c>
      <x:c r="H30" t="n">
        <x:v>46203</x:v>
      </x:c>
      <x:c r="I30" t="str">
        <x:v>Reorder Required</x:v>
      </x:c>
    </x:row>
    <x:row r="31" ht="18" customHeight="1">
      <x:c r="A31" t="str">
        <x:v>INV0027</x:v>
      </x:c>
      <x:c r="B31" t="str">
        <x:v>PRD027</x:v>
      </x:c>
      <x:c r="C31" t="str">
        <x:v>WH-BUE-01</x:v>
      </x:c>
      <x:c r="D31"/>
      <x:c r="E31" t="n">
        <x:v>0</x:v>
      </x:c>
      <x:c r="F31" t="n">
        <x:v>29</x:v>
      </x:c>
      <x:c r="G31" t="n">
        <x:v>25</x:v>
      </x:c>
      <x:c r="H31" t="n">
        <x:v>46203</x:v>
      </x:c>
      <x:c r="I31" t="str">
        <x:v>Adequate</x:v>
      </x:c>
    </x:row>
    <x:row r="32" ht="18" customHeight="1">
      <x:c r="A32" t="str">
        <x:v>INV0028</x:v>
      </x:c>
      <x:c r="B32" t="str">
        <x:v>PRD028</x:v>
      </x:c>
      <x:c r="C32" t="str">
        <x:v>WH-DLA-01</x:v>
      </x:c>
      <x:c r="D32" t="n">
        <x:v>36</x:v>
      </x:c>
      <x:c r="E32" t="n">
        <x:v>1</x:v>
      </x:c>
      <x:c r="F32" t="n">
        <x:v>35</x:v>
      </x:c>
      <x:c r="G32" t="n">
        <x:v>30</x:v>
      </x:c>
      <x:c r="H32" t="n">
        <x:v>46203</x:v>
      </x:c>
      <x:c r="I32" t="str">
        <x:v>Adequate</x:v>
      </x:c>
    </x:row>
    <x:row r="33" ht="18" customHeight="1">
      <x:c r="A33" t="str">
        <x:v>INV0029</x:v>
      </x:c>
      <x:c r="B33" t="str">
        <x:v>PRD029</x:v>
      </x:c>
      <x:c r="C33" t="str">
        <x:v>WH-YDE-01</x:v>
      </x:c>
      <x:c r="D33" t="n">
        <x:v>43</x:v>
      </x:c>
      <x:c r="E33" t="n">
        <x:v>2</x:v>
      </x:c>
      <x:c r="F33" t="n">
        <x:v>41</x:v>
      </x:c>
      <x:c r="G33" t="n">
        <x:v>35</x:v>
      </x:c>
      <x:c r="H33" t="n">
        <x:v>46203</x:v>
      </x:c>
      <x:c r="I33" t="str">
        <x:v>Adequate</x:v>
      </x:c>
    </x:row>
    <x:row r="34" ht="18" customHeight="1">
      <x:c r="A34" t="str">
        <x:v>INV0030</x:v>
      </x:c>
      <x:c r="B34" t="str">
        <x:v>PRD030</x:v>
      </x:c>
      <x:c r="C34" t="str">
        <x:v>WH-BUE-01</x:v>
      </x:c>
      <x:c r="D34" t="n">
        <x:v>50</x:v>
      </x:c>
      <x:c r="E34" t="n">
        <x:v>3</x:v>
      </x:c>
      <x:c r="F34" t="n">
        <x:v>47</x:v>
      </x:c>
      <x:c r="G34" t="n">
        <x:v>10</x:v>
      </x:c>
      <x:c r="H34" t="n">
        <x:v>46203</x:v>
      </x:c>
      <x:c r="I34" t="str">
        <x:v>Adequate</x:v>
      </x:c>
    </x:row>
    <x:row r="35" ht="18" customHeight="1">
      <x:c r="A35" t="str">
        <x:v>INV0006</x:v>
      </x:c>
      <x:c r="B35" t="str">
        <x:v>PRD006</x:v>
      </x:c>
      <x:c r="C35" t="str">
        <x:v>WH-BUE-01</x:v>
      </x:c>
      <x:c r="D35" t="n">
        <x:v>62</x:v>
      </x:c>
      <x:c r="E35" t="n">
        <x:v>6</x:v>
      </x:c>
      <x:c r="F35" t="n">
        <x:v>56</x:v>
      </x:c>
      <x:c r="G35" t="n">
        <x:v>10</x:v>
      </x:c>
      <x:c r="H35" t="n">
        <x:v>46203</x:v>
      </x:c>
      <x:c r="I35" t="str">
        <x:v>Adequate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0d0f67147f6d4c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.75" hidden="0" customWidth="1"/>
    <x:col min="2" max="2" width="16" hidden="0" customWidth="1"/>
    <x:col min="3" max="3" width="16" hidden="0" customWidth="1"/>
    <x:col min="4" max="4" width="18" hidden="0" customWidth="1"/>
    <x:col min="5" max="5" width="32" hidden="0" customWidth="1"/>
    <x:col min="6" max="6" width="32" hidden="0" customWidth="1"/>
    <x:col min="7" max="7" width="26" hidden="0" customWidth="1"/>
    <x:col min="8" max="8" width="16" hidden="0" customWidth="1"/>
  </x:cols>
  <x:sheetData>
    <x:row r="1" ht="30" customHeight="1">
      <x:c r="A1" s="5" t="str">
        <x:v>Student Data Cleaning Issue Log</x:v>
      </x:c>
    </x:row>
    <x:row r="4">
      <x:c r="A4" s="51" t="str">
        <x:v>Issue No.</x:v>
      </x:c>
      <x:c r="B4" s="52" t="str">
        <x:v>Dataset</x:v>
      </x:c>
      <x:c r="C4" s="52" t="str">
        <x:v>Row / Record</x:v>
      </x:c>
      <x:c r="D4" s="52" t="str">
        <x:v>Column</x:v>
      </x:c>
      <x:c r="E4" s="52" t="str">
        <x:v>Problem Identified</x:v>
      </x:c>
      <x:c r="F4" s="52" t="str">
        <x:v>Correction Made</x:v>
      </x:c>
      <x:c r="G4" s="52" t="str">
        <x:v>Validation Method</x:v>
      </x:c>
      <x:c r="H4" s="53" t="str">
        <x:v>Status</x:v>
      </x:c>
    </x:row>
    <x:row r="5">
      <x:c r="A5" t="n">
        <x:v>1</x:v>
      </x:c>
      <x:c r="B5" t="str"/>
      <x:c r="C5" t="str"/>
      <x:c r="D5" t="str"/>
      <x:c r="E5" s="88" t="str"/>
      <x:c r="F5" s="88" t="str"/>
      <x:c r="G5" s="88" t="str"/>
      <x:c r="H5" t="str">
        <x:v>Not Started</x:v>
      </x:c>
    </x:row>
    <x:row r="6">
      <x:c r="A6" t="n">
        <x:v>2</x:v>
      </x:c>
      <x:c r="B6" t="str"/>
      <x:c r="C6" t="str"/>
      <x:c r="D6" t="str"/>
      <x:c r="E6" s="88" t="str"/>
      <x:c r="F6" s="88" t="str"/>
      <x:c r="G6" s="88" t="str"/>
      <x:c r="H6" t="str">
        <x:v>Not Started</x:v>
      </x:c>
    </x:row>
    <x:row r="7">
      <x:c r="A7" t="n">
        <x:v>3</x:v>
      </x:c>
      <x:c r="B7" t="str"/>
      <x:c r="C7" t="str"/>
      <x:c r="D7" t="str"/>
      <x:c r="E7" s="88" t="str"/>
      <x:c r="F7" s="88" t="str"/>
      <x:c r="G7" s="88" t="str"/>
      <x:c r="H7" t="str">
        <x:v>Not Started</x:v>
      </x:c>
    </x:row>
    <x:row r="8">
      <x:c r="A8" t="n">
        <x:v>4</x:v>
      </x:c>
      <x:c r="B8" t="str"/>
      <x:c r="C8" t="str"/>
      <x:c r="D8" t="str"/>
      <x:c r="E8" s="88" t="str"/>
      <x:c r="F8" s="88" t="str"/>
      <x:c r="G8" s="88" t="str"/>
      <x:c r="H8" t="str">
        <x:v>Not Started</x:v>
      </x:c>
    </x:row>
    <x:row r="9">
      <x:c r="A9" t="n">
        <x:v>5</x:v>
      </x:c>
      <x:c r="B9" t="str"/>
      <x:c r="C9" t="str"/>
      <x:c r="D9" t="str"/>
      <x:c r="E9" s="88" t="str"/>
      <x:c r="F9" s="88" t="str"/>
      <x:c r="G9" s="88" t="str"/>
      <x:c r="H9" t="str">
        <x:v>Not Started</x:v>
      </x:c>
    </x:row>
    <x:row r="10">
      <x:c r="A10" t="n">
        <x:v>6</x:v>
      </x:c>
      <x:c r="B10" t="str"/>
      <x:c r="C10" t="str"/>
      <x:c r="D10" t="str"/>
      <x:c r="E10" s="88" t="str"/>
      <x:c r="F10" s="88" t="str"/>
      <x:c r="G10" s="88" t="str"/>
      <x:c r="H10" t="str">
        <x:v>Not Started</x:v>
      </x:c>
    </x:row>
    <x:row r="11">
      <x:c r="A11" t="n">
        <x:v>7</x:v>
      </x:c>
      <x:c r="B11" t="str"/>
      <x:c r="C11" t="str"/>
      <x:c r="D11" t="str"/>
      <x:c r="E11" s="88" t="str"/>
      <x:c r="F11" s="88" t="str"/>
      <x:c r="G11" s="88" t="str"/>
      <x:c r="H11" t="str">
        <x:v>Not Started</x:v>
      </x:c>
    </x:row>
    <x:row r="12">
      <x:c r="A12" t="n">
        <x:v>8</x:v>
      </x:c>
      <x:c r="B12" t="str"/>
      <x:c r="C12" t="str"/>
      <x:c r="D12" t="str"/>
      <x:c r="E12" s="88" t="str"/>
      <x:c r="F12" s="88" t="str"/>
      <x:c r="G12" s="88" t="str"/>
      <x:c r="H12" t="str">
        <x:v>Not Started</x:v>
      </x:c>
    </x:row>
    <x:row r="13">
      <x:c r="A13" t="n">
        <x:v>9</x:v>
      </x:c>
      <x:c r="B13" t="str"/>
      <x:c r="C13" t="str"/>
      <x:c r="D13" t="str"/>
      <x:c r="E13" s="88" t="str"/>
      <x:c r="F13" s="88" t="str"/>
      <x:c r="G13" s="88" t="str"/>
      <x:c r="H13" t="str">
        <x:v>Not Started</x:v>
      </x:c>
    </x:row>
    <x:row r="14">
      <x:c r="A14" t="n">
        <x:v>10</x:v>
      </x:c>
      <x:c r="B14" t="str"/>
      <x:c r="C14" t="str"/>
      <x:c r="D14" t="str"/>
      <x:c r="E14" s="88" t="str"/>
      <x:c r="F14" s="88" t="str"/>
      <x:c r="G14" s="88" t="str"/>
      <x:c r="H14" t="str">
        <x:v>Not Started</x:v>
      </x:c>
    </x:row>
    <x:row r="15">
      <x:c r="A15" t="n">
        <x:v>11</x:v>
      </x:c>
      <x:c r="B15" t="str"/>
      <x:c r="C15" t="str"/>
      <x:c r="D15" t="str"/>
      <x:c r="E15" s="88" t="str"/>
      <x:c r="F15" s="88" t="str"/>
      <x:c r="G15" s="88" t="str"/>
      <x:c r="H15" t="str">
        <x:v>Not Started</x:v>
      </x:c>
    </x:row>
    <x:row r="16">
      <x:c r="A16" t="n">
        <x:v>12</x:v>
      </x:c>
      <x:c r="B16" t="str"/>
      <x:c r="C16" t="str"/>
      <x:c r="D16" t="str"/>
      <x:c r="E16" s="88" t="str"/>
      <x:c r="F16" s="88" t="str"/>
      <x:c r="G16" s="88" t="str"/>
      <x:c r="H16" t="str">
        <x:v>Not Started</x:v>
      </x:c>
    </x:row>
    <x:row r="17">
      <x:c r="A17" t="n">
        <x:v>13</x:v>
      </x:c>
      <x:c r="B17" t="str"/>
      <x:c r="C17" t="str"/>
      <x:c r="D17" t="str"/>
      <x:c r="E17" s="88" t="str"/>
      <x:c r="F17" s="88" t="str"/>
      <x:c r="G17" s="88" t="str"/>
      <x:c r="H17" t="str">
        <x:v>Not Started</x:v>
      </x:c>
    </x:row>
    <x:row r="18">
      <x:c r="A18" t="n">
        <x:v>14</x:v>
      </x:c>
      <x:c r="B18" t="str"/>
      <x:c r="C18" t="str"/>
      <x:c r="D18" t="str"/>
      <x:c r="E18" s="88" t="str"/>
      <x:c r="F18" s="88" t="str"/>
      <x:c r="G18" s="88" t="str"/>
      <x:c r="H18" t="str">
        <x:v>Not Started</x:v>
      </x:c>
    </x:row>
    <x:row r="19">
      <x:c r="A19" t="n">
        <x:v>15</x:v>
      </x:c>
      <x:c r="B19" t="str"/>
      <x:c r="C19" t="str"/>
      <x:c r="D19" t="str"/>
      <x:c r="E19" s="88" t="str"/>
      <x:c r="F19" s="88" t="str"/>
      <x:c r="G19" s="88" t="str"/>
      <x:c r="H19" t="str">
        <x:v>Not Started</x:v>
      </x:c>
    </x:row>
    <x:row r="20">
      <x:c r="A20" t="n">
        <x:v>16</x:v>
      </x:c>
      <x:c r="B20" t="str"/>
      <x:c r="C20" t="str"/>
      <x:c r="D20" t="str"/>
      <x:c r="E20" s="88" t="str"/>
      <x:c r="F20" s="88" t="str"/>
      <x:c r="G20" s="88" t="str"/>
      <x:c r="H20" t="str">
        <x:v>Not Started</x:v>
      </x:c>
    </x:row>
    <x:row r="21">
      <x:c r="A21" t="n">
        <x:v>17</x:v>
      </x:c>
      <x:c r="B21" t="str"/>
      <x:c r="C21" t="str"/>
      <x:c r="D21" t="str"/>
      <x:c r="E21" s="88" t="str"/>
      <x:c r="F21" s="88" t="str"/>
      <x:c r="G21" s="88" t="str"/>
      <x:c r="H21" t="str">
        <x:v>Not Started</x:v>
      </x:c>
    </x:row>
    <x:row r="22">
      <x:c r="A22" t="n">
        <x:v>18</x:v>
      </x:c>
      <x:c r="B22" t="str"/>
      <x:c r="C22" t="str"/>
      <x:c r="D22" t="str"/>
      <x:c r="E22" s="88" t="str"/>
      <x:c r="F22" s="88" t="str"/>
      <x:c r="G22" s="88" t="str"/>
      <x:c r="H22" t="str">
        <x:v>Not Started</x:v>
      </x:c>
    </x:row>
    <x:row r="23">
      <x:c r="A23" t="n">
        <x:v>19</x:v>
      </x:c>
      <x:c r="B23" t="str"/>
      <x:c r="C23" t="str"/>
      <x:c r="D23" t="str"/>
      <x:c r="E23" s="88" t="str"/>
      <x:c r="F23" s="88" t="str"/>
      <x:c r="G23" s="88" t="str"/>
      <x:c r="H23" t="str">
        <x:v>Not Started</x:v>
      </x:c>
    </x:row>
    <x:row r="24">
      <x:c r="A24" t="n">
        <x:v>20</x:v>
      </x:c>
      <x:c r="B24" t="str"/>
      <x:c r="C24" t="str"/>
      <x:c r="D24" t="str"/>
      <x:c r="E24" s="88" t="str"/>
      <x:c r="F24" s="88" t="str"/>
      <x:c r="G24" s="88" t="str"/>
      <x:c r="H24" t="str">
        <x:v>Not Started</x:v>
      </x:c>
    </x:row>
    <x:row r="25">
      <x:c r="A25" t="n">
        <x:v>21</x:v>
      </x:c>
      <x:c r="B25" t="str"/>
      <x:c r="C25" t="str"/>
      <x:c r="D25" t="str"/>
      <x:c r="E25" s="88" t="str"/>
      <x:c r="F25" s="88" t="str"/>
      <x:c r="G25" s="88" t="str"/>
      <x:c r="H25" t="str">
        <x:v>Not Started</x:v>
      </x:c>
    </x:row>
    <x:row r="26">
      <x:c r="A26" t="n">
        <x:v>22</x:v>
      </x:c>
      <x:c r="B26" t="str"/>
      <x:c r="C26" t="str"/>
      <x:c r="D26" t="str"/>
      <x:c r="E26" s="88" t="str"/>
      <x:c r="F26" s="88" t="str"/>
      <x:c r="G26" s="88" t="str"/>
      <x:c r="H26" t="str">
        <x:v>Not Started</x:v>
      </x:c>
    </x:row>
    <x:row r="27">
      <x:c r="A27" t="n">
        <x:v>23</x:v>
      </x:c>
      <x:c r="B27" t="str"/>
      <x:c r="C27" t="str"/>
      <x:c r="D27" t="str"/>
      <x:c r="E27" s="88" t="str"/>
      <x:c r="F27" s="88" t="str"/>
      <x:c r="G27" s="88" t="str"/>
      <x:c r="H27" t="str">
        <x:v>Not Started</x:v>
      </x:c>
    </x:row>
    <x:row r="28">
      <x:c r="A28" t="n">
        <x:v>24</x:v>
      </x:c>
      <x:c r="B28" t="str"/>
      <x:c r="C28" t="str"/>
      <x:c r="D28" t="str"/>
      <x:c r="E28" s="88" t="str"/>
      <x:c r="F28" s="88" t="str"/>
      <x:c r="G28" s="88" t="str"/>
      <x:c r="H28" t="str">
        <x:v>Not Started</x:v>
      </x:c>
    </x:row>
    <x:row r="29">
      <x:c r="A29" t="n">
        <x:v>25</x:v>
      </x:c>
      <x:c r="B29" t="str"/>
      <x:c r="C29" t="str"/>
      <x:c r="D29" t="str"/>
      <x:c r="E29" s="88" t="str"/>
      <x:c r="F29" s="88" t="str"/>
      <x:c r="G29" s="88" t="str"/>
      <x:c r="H29" t="str">
        <x:v>Not Started</x:v>
      </x:c>
    </x:row>
    <x:row r="30">
      <x:c r="A30" t="n">
        <x:v>26</x:v>
      </x:c>
      <x:c r="B30" t="str"/>
      <x:c r="C30" t="str"/>
      <x:c r="D30" t="str"/>
      <x:c r="E30" s="88" t="str"/>
      <x:c r="F30" s="88" t="str"/>
      <x:c r="G30" s="88" t="str"/>
      <x:c r="H30" t="str">
        <x:v>Not Started</x:v>
      </x:c>
    </x:row>
    <x:row r="31">
      <x:c r="A31" t="n">
        <x:v>27</x:v>
      </x:c>
      <x:c r="B31" t="str"/>
      <x:c r="C31" t="str"/>
      <x:c r="D31" t="str"/>
      <x:c r="E31" s="88" t="str"/>
      <x:c r="F31" s="88" t="str"/>
      <x:c r="G31" s="88" t="str"/>
      <x:c r="H31" t="str">
        <x:v>Not Started</x:v>
      </x:c>
    </x:row>
    <x:row r="32">
      <x:c r="A32" t="n">
        <x:v>28</x:v>
      </x:c>
      <x:c r="B32" t="str"/>
      <x:c r="C32" t="str"/>
      <x:c r="D32" t="str"/>
      <x:c r="E32" s="88" t="str"/>
      <x:c r="F32" s="88" t="str"/>
      <x:c r="G32" s="88" t="str"/>
      <x:c r="H32" t="str">
        <x:v>Not Started</x:v>
      </x:c>
    </x:row>
    <x:row r="33">
      <x:c r="A33" t="n">
        <x:v>29</x:v>
      </x:c>
      <x:c r="B33" t="str"/>
      <x:c r="C33" t="str"/>
      <x:c r="D33" t="str"/>
      <x:c r="E33" s="88" t="str"/>
      <x:c r="F33" s="88" t="str"/>
      <x:c r="G33" s="88" t="str"/>
      <x:c r="H33" t="str">
        <x:v>Not Started</x:v>
      </x:c>
    </x:row>
    <x:row r="34">
      <x:c r="A34" t="n">
        <x:v>30</x:v>
      </x:c>
      <x:c r="B34" t="str"/>
      <x:c r="C34" t="str"/>
      <x:c r="D34" t="str"/>
      <x:c r="E34" s="88" t="str"/>
      <x:c r="F34" s="88" t="str"/>
      <x:c r="G34" s="88" t="str"/>
      <x:c r="H34" t="str">
        <x:v>Not Started</x:v>
      </x:c>
    </x:row>
    <x:row r="35">
      <x:c r="A35" t="n">
        <x:v>31</x:v>
      </x:c>
      <x:c r="B35" t="str"/>
      <x:c r="C35" t="str"/>
      <x:c r="D35" t="str"/>
      <x:c r="E35" s="88" t="str"/>
      <x:c r="F35" s="88" t="str"/>
      <x:c r="G35" s="88" t="str"/>
      <x:c r="H35" t="str">
        <x:v>Not Started</x:v>
      </x:c>
    </x:row>
    <x:row r="36">
      <x:c r="A36" t="n">
        <x:v>32</x:v>
      </x:c>
      <x:c r="B36" t="str"/>
      <x:c r="C36" t="str"/>
      <x:c r="D36" t="str"/>
      <x:c r="E36" s="88" t="str"/>
      <x:c r="F36" s="88" t="str"/>
      <x:c r="G36" s="88" t="str"/>
      <x:c r="H36" t="str">
        <x:v>Not Started</x:v>
      </x:c>
    </x:row>
    <x:row r="37">
      <x:c r="A37" t="n">
        <x:v>33</x:v>
      </x:c>
      <x:c r="B37" t="str"/>
      <x:c r="C37" t="str"/>
      <x:c r="D37" t="str"/>
      <x:c r="E37" s="88" t="str"/>
      <x:c r="F37" s="88" t="str"/>
      <x:c r="G37" s="88" t="str"/>
      <x:c r="H37" t="str">
        <x:v>Not Started</x:v>
      </x:c>
    </x:row>
    <x:row r="38">
      <x:c r="A38" t="n">
        <x:v>34</x:v>
      </x:c>
      <x:c r="B38" t="str"/>
      <x:c r="C38" t="str"/>
      <x:c r="D38" t="str"/>
      <x:c r="E38" s="88" t="str"/>
      <x:c r="F38" s="88" t="str"/>
      <x:c r="G38" s="88" t="str"/>
      <x:c r="H38" t="str">
        <x:v>Not Started</x:v>
      </x:c>
    </x:row>
    <x:row r="39">
      <x:c r="A39" t="n">
        <x:v>35</x:v>
      </x:c>
      <x:c r="B39" t="str"/>
      <x:c r="C39" t="str"/>
      <x:c r="D39" t="str"/>
      <x:c r="E39" s="88" t="str"/>
      <x:c r="F39" s="88" t="str"/>
      <x:c r="G39" s="88" t="str"/>
      <x:c r="H39" t="str">
        <x:v>Not Started</x:v>
      </x:c>
    </x:row>
    <x:row r="40">
      <x:c r="A40" t="n">
        <x:v>36</x:v>
      </x:c>
      <x:c r="B40" t="str"/>
      <x:c r="C40" t="str"/>
      <x:c r="D40" t="str"/>
      <x:c r="E40" s="88" t="str"/>
      <x:c r="F40" s="88" t="str"/>
      <x:c r="G40" s="88" t="str"/>
      <x:c r="H40" t="str">
        <x:v>Not Started</x:v>
      </x:c>
    </x:row>
    <x:row r="41">
      <x:c r="A41" t="n">
        <x:v>37</x:v>
      </x:c>
      <x:c r="B41" t="str"/>
      <x:c r="C41" t="str"/>
      <x:c r="D41" t="str"/>
      <x:c r="E41" s="88" t="str"/>
      <x:c r="F41" s="88" t="str"/>
      <x:c r="G41" s="88" t="str"/>
      <x:c r="H41" t="str">
        <x:v>Not Started</x:v>
      </x:c>
    </x:row>
    <x:row r="42">
      <x:c r="A42" t="n">
        <x:v>38</x:v>
      </x:c>
      <x:c r="B42" t="str"/>
      <x:c r="C42" t="str"/>
      <x:c r="D42" t="str"/>
      <x:c r="E42" s="88" t="str"/>
      <x:c r="F42" s="88" t="str"/>
      <x:c r="G42" s="88" t="str"/>
      <x:c r="H42" t="str">
        <x:v>Not Started</x:v>
      </x:c>
    </x:row>
    <x:row r="43">
      <x:c r="A43" t="n">
        <x:v>39</x:v>
      </x:c>
      <x:c r="B43" t="str"/>
      <x:c r="C43" t="str"/>
      <x:c r="D43" t="str"/>
      <x:c r="E43" s="88" t="str"/>
      <x:c r="F43" s="88" t="str"/>
      <x:c r="G43" s="88" t="str"/>
      <x:c r="H43" t="str">
        <x:v>Not Started</x:v>
      </x:c>
    </x:row>
    <x:row r="44">
      <x:c r="A44" t="n">
        <x:v>40</x:v>
      </x:c>
      <x:c r="B44" t="str"/>
      <x:c r="C44" t="str"/>
      <x:c r="D44" t="str"/>
      <x:c r="E44" s="88" t="str"/>
      <x:c r="F44" s="88" t="str"/>
      <x:c r="G44" s="88" t="str"/>
      <x:c r="H44" t="str">
        <x:v>Not Started</x:v>
      </x:c>
    </x:row>
    <x:row r="45">
      <x:c r="A45" t="n">
        <x:v>41</x:v>
      </x:c>
      <x:c r="B45" t="str"/>
      <x:c r="C45" t="str"/>
      <x:c r="D45" t="str"/>
      <x:c r="E45" s="88" t="str"/>
      <x:c r="F45" s="88" t="str"/>
      <x:c r="G45" s="88" t="str"/>
      <x:c r="H45" t="str">
        <x:v>Not Started</x:v>
      </x:c>
    </x:row>
    <x:row r="46">
      <x:c r="A46" t="n">
        <x:v>42</x:v>
      </x:c>
      <x:c r="B46" t="str"/>
      <x:c r="C46" t="str"/>
      <x:c r="D46" t="str"/>
      <x:c r="E46" s="88" t="str"/>
      <x:c r="F46" s="88" t="str"/>
      <x:c r="G46" s="88" t="str"/>
      <x:c r="H46" t="str">
        <x:v>Not Started</x:v>
      </x:c>
    </x:row>
    <x:row r="47">
      <x:c r="A47" t="n">
        <x:v>43</x:v>
      </x:c>
      <x:c r="B47" t="str"/>
      <x:c r="C47" t="str"/>
      <x:c r="D47" t="str"/>
      <x:c r="E47" s="88" t="str"/>
      <x:c r="F47" s="88" t="str"/>
      <x:c r="G47" s="88" t="str"/>
      <x:c r="H47" t="str">
        <x:v>Not Started</x:v>
      </x:c>
    </x:row>
    <x:row r="48">
      <x:c r="A48" t="n">
        <x:v>44</x:v>
      </x:c>
      <x:c r="B48" t="str"/>
      <x:c r="C48" t="str"/>
      <x:c r="D48" t="str"/>
      <x:c r="E48" s="88" t="str"/>
      <x:c r="F48" s="88" t="str"/>
      <x:c r="G48" s="88" t="str"/>
      <x:c r="H48" t="str">
        <x:v>Not Started</x:v>
      </x:c>
    </x:row>
    <x:row r="49">
      <x:c r="A49" t="n">
        <x:v>45</x:v>
      </x:c>
      <x:c r="B49" t="str"/>
      <x:c r="C49" t="str"/>
      <x:c r="D49" t="str"/>
      <x:c r="E49" s="88" t="str"/>
      <x:c r="F49" s="88" t="str"/>
      <x:c r="G49" s="88" t="str"/>
      <x:c r="H49" t="str">
        <x:v>Not Started</x:v>
      </x:c>
    </x:row>
    <x:row r="50">
      <x:c r="A50" t="n">
        <x:v>46</x:v>
      </x:c>
      <x:c r="B50" t="str"/>
      <x:c r="C50" t="str"/>
      <x:c r="D50" t="str"/>
      <x:c r="E50" s="88" t="str"/>
      <x:c r="F50" s="88" t="str"/>
      <x:c r="G50" s="88" t="str"/>
      <x:c r="H50" t="str">
        <x:v>Not Started</x:v>
      </x:c>
    </x:row>
    <x:row r="51">
      <x:c r="A51" t="n">
        <x:v>47</x:v>
      </x:c>
      <x:c r="B51" t="str"/>
      <x:c r="C51" t="str"/>
      <x:c r="D51" t="str"/>
      <x:c r="E51" s="88" t="str"/>
      <x:c r="F51" s="88" t="str"/>
      <x:c r="G51" s="88" t="str"/>
      <x:c r="H51" t="str">
        <x:v>Not Started</x:v>
      </x:c>
    </x:row>
    <x:row r="52">
      <x:c r="A52" t="n">
        <x:v>48</x:v>
      </x:c>
      <x:c r="B52" t="str"/>
      <x:c r="C52" t="str"/>
      <x:c r="D52" t="str"/>
      <x:c r="E52" s="88" t="str"/>
      <x:c r="F52" s="88" t="str"/>
      <x:c r="G52" s="88" t="str"/>
      <x:c r="H52" t="str">
        <x:v>Not Started</x:v>
      </x:c>
    </x:row>
    <x:row r="53">
      <x:c r="A53" t="n">
        <x:v>49</x:v>
      </x:c>
      <x:c r="B53" t="str"/>
      <x:c r="C53" t="str"/>
      <x:c r="D53" t="str"/>
      <x:c r="E53" s="88" t="str"/>
      <x:c r="F53" s="88" t="str"/>
      <x:c r="G53" s="88" t="str"/>
      <x:c r="H53" t="str">
        <x:v>Not Started</x:v>
      </x:c>
    </x:row>
    <x:row r="54">
      <x:c r="A54" t="n">
        <x:v>50</x:v>
      </x:c>
      <x:c r="B54" t="str"/>
      <x:c r="C54" t="str"/>
      <x:c r="D54" t="str"/>
      <x:c r="E54" s="88" t="str"/>
      <x:c r="F54" s="88" t="str"/>
      <x:c r="G54" s="88" t="str"/>
      <x:c r="H54" t="str">
        <x:v>Not Started</x:v>
      </x:c>
    </x:row>
  </x:sheetData>
  <x:mergeCells>
    <x:mergeCell ref="A1:H2"/>
  </x:mergeCells>
  <x:conditionalFormatting sqref="H5:H54">
    <x:cfRule type="expression" dxfId="0" priority="1">
      <x:formula>H5="Verified"</x:formula>
    </x:cfRule>
    <x:cfRule type="expression" dxfId="1" priority="2">
      <x:formula>H5="In Progress"</x:formula>
    </x:cfRule>
    <x:cfRule type="expression" dxfId="2" priority="3">
      <x:formula>H5="Not Started"</x:formula>
    </x:cfRule>
  </x:conditionalFormatting>
  <x:dataValidations count="2">
    <x:dataValidation type="list" sqref="B5:B54">
      <x:formula1>"Employees,Customers,Products,Sales,Inventory"</x:formula1>
    </x:dataValidation>
    <x:dataValidation type="list" sqref="H5:H54">
      <x:formula1>"Not Started,In Progress,Corrected,Verified"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b3beb584b8498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4" max="4" width="28" hidden="0" customWidth="1"/>
    <x:col min="5" max="5" width="18" hidden="0" customWidth="1"/>
  </x:cols>
  <x:sheetData>
    <x:row r="1" ht="30" customHeight="1">
      <x:c r="A1" s="5" t="str">
        <x:v>Beginner Excel Practice Summary</x:v>
      </x:c>
    </x:row>
    <x:row r="4">
      <x:c r="A4" s="51" t="str">
        <x:v>Exercise</x:v>
      </x:c>
      <x:c r="B4" s="53" t="str">
        <x:v>Required Result</x:v>
      </x:c>
      <x:c r="D4" s="51" t="str">
        <x:v>Automatic KPI</x:v>
      </x:c>
      <x:c r="E4" s="53" t="str">
        <x:v>Result</x:v>
      </x:c>
      <x:c r="G4" s="51" t="str">
        <x:v>Branch</x:v>
      </x:c>
      <x:c r="H4" s="53" t="str">
        <x:v>Total Sales</x:v>
      </x:c>
    </x:row>
    <x:row r="5">
      <x:c r="A5" s="91" t="str">
        <x:v>1</x:v>
      </x:c>
      <x:c r="B5" s="67" t="str">
        <x:v>Count the employee records before and after removing duplicates.</x:v>
      </x:c>
      <x:c r="D5" s="94" t="str">
        <x:v>Clean employee count</x:v>
      </x:c>
      <x:c r="E5" s="97" t="n">
        <x:f>COUNTA('Employees Clean'!A5:A44)</x:f>
        <x:v>40</x:v>
      </x:c>
      <x:c r="G5" t="str">
        <x:v>Douala Central</x:v>
      </x:c>
      <x:c r="H5" t="n">
        <x:f>SUMIF('Sales Clean'!I5:I104,G5,'Sales Clean'!H5:H104)</x:f>
        <x:v>697170</x:v>
      </x:c>
    </x:row>
    <x:row r="6">
      <x:c r="A6" s="91" t="str">
        <x:v>2</x:v>
      </x:c>
      <x:c r="B6" s="67" t="str">
        <x:v>Calculate total monthly payroll from the clean employee sheet.</x:v>
      </x:c>
      <x:c r="D6" s="94" t="str">
        <x:v>Total monthly payroll</x:v>
      </x:c>
      <x:c r="E6" s="97" t="n">
        <x:f>SUM('Employees Clean'!I5:I44)</x:f>
        <x:v>22800000</x:v>
      </x:c>
      <x:c r="G6" t="str">
        <x:v>Yaounde Central</x:v>
      </x:c>
      <x:c r="H6" t="n">
        <x:f>SUMIF('Sales Clean'!I5:I104,G6,'Sales Clean'!H5:H104)</x:f>
        <x:v>669650</x:v>
      </x:c>
    </x:row>
    <x:row r="7">
      <x:c r="A7" s="91" t="str">
        <x:v>3</x:v>
      </x:c>
      <x:c r="B7" s="67" t="str">
        <x:v>Count customers by city and loyalty status.</x:v>
      </x:c>
      <x:c r="D7" s="94" t="str">
        <x:v>Clean customer count</x:v>
      </x:c>
      <x:c r="E7" s="97" t="n">
        <x:f>COUNTA('Customers Clean'!A5:A64)</x:f>
        <x:v>60</x:v>
      </x:c>
      <x:c r="G7" t="str">
        <x:v>Buea Branch</x:v>
      </x:c>
      <x:c r="H7" t="n">
        <x:f>SUMIF('Sales Clean'!I5:I104,G7,'Sales Clean'!H5:H104)</x:f>
        <x:v>691730</x:v>
      </x:c>
    </x:row>
    <x:row r="8">
      <x:c r="A8" s="91" t="str">
        <x:v>4</x:v>
      </x:c>
      <x:c r="B8" s="67" t="str">
        <x:v>Calculate average product markup percentage.</x:v>
      </x:c>
      <x:c r="D8" s="94" t="str">
        <x:v>Clean product count</x:v>
      </x:c>
      <x:c r="E8" s="97" t="n">
        <x:f>COUNTA('Products Clean'!A5:A34)</x:f>
        <x:v>30</x:v>
      </x:c>
      <x:c r="G8" t="str">
        <x:v>Bafoussam Branch</x:v>
      </x:c>
      <x:c r="H8" t="n">
        <x:f>SUMIF('Sales Clean'!I5:I104,G8,'Sales Clean'!H5:H104)</x:f>
        <x:v>686242</x:v>
      </x:c>
    </x:row>
    <x:row r="9">
      <x:c r="A9" s="91" t="str">
        <x:v>5</x:v>
      </x:c>
      <x:c r="B9" s="67" t="str">
        <x:v>Calculate total sales by branch and channel.</x:v>
      </x:c>
      <x:c r="D9" s="94" t="str">
        <x:v>Total clean sales</x:v>
      </x:c>
      <x:c r="E9" s="97" t="n">
        <x:f>SUM('Sales Clean'!H5:H104)</x:f>
        <x:v>2744792</x:v>
      </x:c>
    </x:row>
    <x:row r="10">
      <x:c r="A10" s="91" t="str">
        <x:v>6</x:v>
      </x:c>
      <x:c r="B10" s="67" t="str">
        <x:v>Identify products at or below reorder level.</x:v>
      </x:c>
      <x:c r="D10" s="94" t="str">
        <x:v>Products requiring reorder</x:v>
      </x:c>
      <x:c r="E10" s="97" t="n">
        <x:f>COUNTIF('Inventory Clean'!I5:I34,"Reorder Required")</x:f>
        <x:v>1</x:v>
      </x:c>
    </x:row>
    <x:row r="11">
      <x:c r="A11" s="91" t="str">
        <x:v>7</x:v>
      </x:c>
      <x:c r="B11" s="67" t="str">
        <x:v>Count all data quality issues recorded in the Issue Log.</x:v>
      </x:c>
      <x:c r="D11" s="94" t="str">
        <x:v>Issues marked verified</x:v>
      </x:c>
      <x:c r="E11" s="97" t="n">
        <x:f>COUNTIF('Issue Log'!H5:H54,"Verified")</x:f>
        <x:v>0</x:v>
      </x:c>
    </x:row>
    <x:row r="12">
      <x:c r="A12" s="91" t="str">
        <x:v>8</x:v>
      </x:c>
      <x:c r="B12" s="67" t="str">
        <x:v>Prepare a short management conclusion based on the cleaned data.</x:v>
      </x:c>
      <x:c r="D12" s="94" t="str">
        <x:v>Total logged issues</x:v>
      </x:c>
      <x:c r="E12" s="97" t="n">
        <x:f>COUNTIF('Issue Log'!E5:E54,"&lt;&gt;")</x:f>
        <x:v>50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a42212f3590440fa"/>
</x:worksheet>
</file>