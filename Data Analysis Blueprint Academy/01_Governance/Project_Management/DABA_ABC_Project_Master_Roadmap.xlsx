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3cce13d2a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oadmap" sheetId="1" r:id="Ra405da0289ac42e8"/>
    <x:sheet xmlns:r="http://schemas.openxmlformats.org/officeDocument/2006/relationships" name="Dashboard" sheetId="2" r:id="Re3a062384f2a4e86"/>
    <x:sheet xmlns:r="http://schemas.openxmlformats.org/officeDocument/2006/relationships" name="Risks" sheetId="3" r:id="R24021cad02094a0b"/>
    <x:sheet xmlns:r="http://schemas.openxmlformats.org/officeDocument/2006/relationships" name="Decisions" sheetId="4" r:id="R747d4393954443a7"/>
    <x:sheet xmlns:r="http://schemas.openxmlformats.org/officeDocument/2006/relationships" name="Next 30 Days" sheetId="5" r:id="R11c3f75fcb63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  <x:dxfs count="8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CE6F1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fa0636d554ec5" /><Relationship Type="http://schemas.openxmlformats.org/officeDocument/2006/relationships/theme" Target="/xl/theme/theme1.xml" Id="R7e5b6a20c08a4ce1" /><Relationship Type="http://schemas.openxmlformats.org/officeDocument/2006/relationships/sharedStrings" Target="/xl/sharedStrings.xml" Id="R21d40de988f64a25" /><Relationship Type="http://schemas.openxmlformats.org/officeDocument/2006/relationships/worksheet" Target="/xl/worksheets/sheet1.xml" Id="Ra405da0289ac42e8" /><Relationship Type="http://schemas.openxmlformats.org/officeDocument/2006/relationships/worksheet" Target="/xl/worksheets/sheet2.xml" Id="Re3a062384f2a4e86" /><Relationship Type="http://schemas.openxmlformats.org/officeDocument/2006/relationships/worksheet" Target="/xl/worksheets/sheet3.xml" Id="R24021cad02094a0b" /><Relationship Type="http://schemas.openxmlformats.org/officeDocument/2006/relationships/worksheet" Target="/xl/worksheets/sheet4.xml" Id="R747d4393954443a7" /><Relationship Type="http://schemas.openxmlformats.org/officeDocument/2006/relationships/worksheet" Target="/xl/worksheets/sheet5.xml" Id="R11c3f75fcb63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3b6755c87f42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Deliverables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3b6755c87f42c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oadmapTable" displayName="MasterRoadmapTable" ref="A4:P44" headerRowCount="1">
  <x:tableColumns count="16">
    <x:tableColumn id="1" name="Task ID"/>
    <x:tableColumn id="2" name="Workstream"/>
    <x:tableColumn id="3" name="Deliverable"/>
    <x:tableColumn id="4" name="Description"/>
    <x:tableColumn id="5" name="Priority"/>
    <x:tableColumn id="6" name="Status"/>
    <x:tableColumn id="7" name="Start Date"/>
    <x:tableColumn id="8" name="Target Date"/>
    <x:tableColumn id="9" name="Owner"/>
    <x:tableColumn id="10" name="Dependency"/>
    <x:tableColumn id="11" name="Completion %"/>
    <x:tableColumn id="12" name="Evidence / Path"/>
    <x:tableColumn id="13" name="Risk if Delayed"/>
    <x:tableColumn id="14" name="Next Action"/>
    <x:tableColumn id="15" name="Phas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jectRiskTable" displayName="ProjectRiskTable" ref="A4:J14" headerRowCount="1">
  <x:tableColumns count="10">
    <x:tableColumn id="1" name="Risk ID"/>
    <x:tableColumn id="2" name="Risk"/>
    <x:tableColumn id="3" name="Category"/>
    <x:tableColumn id="4" name="Likelihood"/>
    <x:tableColumn id="5" name="Impact"/>
    <x:tableColumn id="6" name="Rating"/>
    <x:tableColumn id="7" name="Owner"/>
    <x:tableColumn id="8" name="Treatment"/>
    <x:tableColumn id="9" name="Status"/>
    <x:tableColumn id="10" name="Review Date"/>
  </x:tableColumns>
  <x:tableStyleInfo name="TableStyleMedium2" showRowStripes="1"/>
</x:table>
</file>

<file path=xl/tables/table3.xml><?xml version="1.0" encoding="utf-8"?>
<x:table xmlns:x="http://schemas.openxmlformats.org/spreadsheetml/2006/main" id="3" name="DecisionRegisterTable" displayName="DecisionRegisterTable" ref="A4:J11" headerRowCount="1">
  <x:tableColumns count="10">
    <x:tableColumn id="1" name="Decision ID"/>
    <x:tableColumn id="2" name="Decision Required"/>
    <x:tableColumn id="3" name="Options"/>
    <x:tableColumn id="4" name="Recommendation"/>
    <x:tableColumn id="5" name="Decision Owner"/>
    <x:tableColumn id="6" name="Due Date"/>
    <x:tableColumn id="7" name="Status"/>
    <x:tableColumn id="8" name="Decision"/>
    <x:tableColumn id="9" name="Rationale"/>
    <x:tableColumn id="10" name="Evidence"/>
  </x:tableColumns>
  <x:tableStyleInfo name="TableStyleMedium2" showRowStripes="1"/>
</x:table>
</file>

<file path=xl/tables/table4.xml><?xml version="1.0" encoding="utf-8"?>
<x:table xmlns:x="http://schemas.openxmlformats.org/spreadsheetml/2006/main" id="4" name="ThirtyDayPlanTable" displayName="ThirtyDayPlanTable" ref="A4:I8" headerRowCount="1">
  <x:tableColumns count="9">
    <x:tableColumn id="1" name="Week"/>
    <x:tableColumn id="2" name="Date Range"/>
    <x:tableColumn id="3" name="Priority Objective"/>
    <x:tableColumn id="4" name="Deliverables"/>
    <x:tableColumn id="5" name="Owner"/>
    <x:tableColumn id="6" name="Dependency"/>
    <x:tableColumn id="7" name="Success Measure"/>
    <x:tableColumn id="8" name="Statu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7dedfc8784c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42abdfb6bf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ea077a0153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f904b6660146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06448bd29443c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48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24" hidden="0" customWidth="1"/>
    <x:col min="10" max="10" width="28" hidden="0" customWidth="1"/>
    <x:col min="11" max="11" width="14" hidden="0" customWidth="1"/>
    <x:col min="12" max="12" width="38" hidden="0" customWidth="1"/>
    <x:col min="13" max="13" width="38" hidden="0" customWidth="1"/>
    <x:col min="14" max="14" width="36" hidden="0" customWidth="1"/>
    <x:col min="15" max="15" width="12" hidden="0" customWidth="1"/>
    <x:col min="16" max="16" width="28" hidden="0" customWidth="1"/>
  </x:cols>
  <x:sheetData>
    <x:row r="1" ht="30" customHeight="1">
      <x:c r="A1" s="5" t="str">
        <x:v>DABA &amp; ABC Retail Ltd Master Project Roadmap</x:v>
      </x:c>
    </x:row>
    <x:row r="4">
      <x:c r="A4" s="14" t="str">
        <x:v>Task ID</x:v>
      </x:c>
      <x:c r="B4" s="14" t="str">
        <x:v>Workstream</x:v>
      </x:c>
      <x:c r="C4" s="14" t="str">
        <x:v>Deliverable</x:v>
      </x:c>
      <x:c r="D4" s="14" t="str">
        <x:v>Description</x:v>
      </x:c>
      <x:c r="E4" s="14" t="str">
        <x:v>Priority</x:v>
      </x:c>
      <x:c r="F4" s="14" t="str">
        <x:v>Status</x:v>
      </x:c>
      <x:c r="G4" s="14" t="str">
        <x:v>Start Date</x:v>
      </x:c>
      <x:c r="H4" s="14" t="str">
        <x:v>Target Date</x:v>
      </x:c>
      <x:c r="I4" s="14" t="str">
        <x:v>Owner</x:v>
      </x:c>
      <x:c r="J4" s="14" t="str">
        <x:v>Dependency</x:v>
      </x:c>
      <x:c r="K4" s="14" t="str">
        <x:v>Completion %</x:v>
      </x:c>
      <x:c r="L4" s="14" t="str">
        <x:v>Evidence / Path</x:v>
      </x:c>
      <x:c r="M4" s="14" t="str">
        <x:v>Risk if Delayed</x:v>
      </x:c>
      <x:c r="N4" s="14" t="str">
        <x:v>Next Action</x:v>
      </x:c>
      <x:c r="O4" s="14" t="str">
        <x:v>Phase</x:v>
      </x:c>
      <x:c r="P4" s="14" t="str">
        <x:v>Notes</x:v>
      </x:c>
    </x:row>
    <x:row r="5">
      <x:c r="A5" t="str">
        <x:v>T-001</x:v>
      </x:c>
      <x:c r="B5" t="str">
        <x:v>Repository Governance</x:v>
      </x:c>
      <x:c r="C5" s="24" t="str">
        <x:v>Enable GitHub write access</x:v>
      </x:c>
      <x:c r="D5" s="24" t="str">
        <x:v>Grant the integration contents and pull-request write permissions.</x:v>
      </x:c>
      <x:c r="E5" s="24" t="str">
        <x:v>Critical</x:v>
      </x:c>
      <x:c r="F5" s="24" t="str">
        <x:v>Blocked</x:v>
      </x:c>
      <x:c r="G5" s="25" t="n">
        <x:v>46222</x:v>
      </x:c>
      <x:c r="H5" s="25" t="n">
        <x:v>46224</x:v>
      </x:c>
      <x:c r="I5" s="24" t="str">
        <x:v>Repository Owner</x:v>
      </x:c>
      <x:c r="J5" s="24" t="str">
        <x:v>GitHub App configuration</x:v>
      </x:c>
      <x:c r="K5" s="26" t="n">
        <x:v>0</x:v>
      </x:c>
      <x:c r="L5" s="24" t="str">
        <x:v>GITHUB_WRITE_ACCESS_FIX.md</x:v>
      </x:c>
      <x:c r="M5" s="24" t="str">
        <x:v>Updates cannot be pushed directly.</x:v>
      </x:c>
      <x:c r="N5" s="24" t="str">
        <x:v>Update GitHub App permissions.</x:v>
      </x:c>
      <x:c r="O5" s="24" t="str">
        <x:v>Phase 1</x:v>
      </x:c>
      <x:c r="P5" s="24" t="str">
        <x:v>Public access only enables reading.</x:v>
      </x:c>
    </x:row>
    <x:row r="6">
      <x:c r="A6" t="str">
        <x:v>T-002</x:v>
      </x:c>
      <x:c r="B6" t="str">
        <x:v>Repository Governance</x:v>
      </x:c>
      <x:c r="C6" s="24" t="str">
        <x:v>Root README</x:v>
      </x:c>
      <x:c r="D6" s="24" t="str">
        <x:v>Add professional project introduction, repository map, and setup instructions.</x:v>
      </x:c>
      <x:c r="E6" s="24" t="str">
        <x:v>High</x:v>
      </x:c>
      <x:c r="F6" s="24" t="str">
        <x:v>Prepared</x:v>
      </x:c>
      <x:c r="G6" s="25" t="n">
        <x:v>46222</x:v>
      </x:c>
      <x:c r="H6" s="25" t="n">
        <x:v>46225</x:v>
      </x:c>
      <x:c r="I6" s="24" t="str">
        <x:v>Project Lead</x:v>
      </x:c>
      <x:c r="J6" s="24" t="str">
        <x:v>T-001</x:v>
      </x:c>
      <x:c r="K6" s="26" t="n">
        <x:v>0.9</x:v>
      </x:c>
      <x:c r="L6" s="24" t="str">
        <x:v>README.md</x:v>
      </x:c>
      <x:c r="M6" s="24" t="str">
        <x:v>Repository remains difficult to navigate.</x:v>
      </x:c>
      <x:c r="N6" s="24" t="str">
        <x:v>Upload or push prepared README.</x:v>
      </x:c>
      <x:c r="O6" s="24" t="str">
        <x:v>Phase 1</x:v>
      </x:c>
      <x:c r="P6" s="24" t="str"/>
    </x:row>
    <x:row r="7">
      <x:c r="A7" t="str">
        <x:v>T-003</x:v>
      </x:c>
      <x:c r="B7" t="str">
        <x:v>Repository Governance</x:v>
      </x:c>
      <x:c r="C7" s="24" t="str">
        <x:v>Project roadmap</x:v>
      </x:c>
      <x:c r="D7" s="24" t="str">
        <x:v>Publish controlled project phases, dates, priorities, and exit criteria.</x:v>
      </x:c>
      <x:c r="E7" s="24" t="str">
        <x:v>High</x:v>
      </x:c>
      <x:c r="F7" s="24" t="str">
        <x:v>Prepared</x:v>
      </x:c>
      <x:c r="G7" s="25" t="n">
        <x:v>46222</x:v>
      </x:c>
      <x:c r="H7" s="25" t="n">
        <x:v>46225</x:v>
      </x:c>
      <x:c r="I7" s="24" t="str">
        <x:v>PMO</x:v>
      </x:c>
      <x:c r="J7" s="24" t="str">
        <x:v>T-001</x:v>
      </x:c>
      <x:c r="K7" s="26" t="n">
        <x:v>0.9</x:v>
      </x:c>
      <x:c r="L7" s="24" t="str">
        <x:v>PROJECT_ROADMAP.md</x:v>
      </x:c>
      <x:c r="M7" s="24" t="str">
        <x:v>Work may become fragmented.</x:v>
      </x:c>
      <x:c r="N7" s="24" t="str">
        <x:v>Upload prepared roadmap.</x:v>
      </x:c>
      <x:c r="O7" s="24" t="str">
        <x:v>Phase 1</x:v>
      </x:c>
      <x:c r="P7" s="24" t="str"/>
    </x:row>
    <x:row r="8">
      <x:c r="A8" t="str">
        <x:v>T-004</x:v>
      </x:c>
      <x:c r="B8" t="str">
        <x:v>Repository Governance</x:v>
      </x:c>
      <x:c r="C8" s="24" t="str">
        <x:v>Document register</x:v>
      </x:c>
      <x:c r="D8" s="24" t="str">
        <x:v>Create a controlled index of project documents, versions, status, owners, and review cycles.</x:v>
      </x:c>
      <x:c r="E8" s="24" t="str">
        <x:v>High</x:v>
      </x:c>
      <x:c r="F8" s="24" t="str">
        <x:v>Prepared</x:v>
      </x:c>
      <x:c r="G8" s="25" t="n">
        <x:v>46222</x:v>
      </x:c>
      <x:c r="H8" s="25" t="n">
        <x:v>46226</x:v>
      </x:c>
      <x:c r="I8" s="24" t="str">
        <x:v>Document Control</x:v>
      </x:c>
      <x:c r="J8" s="24" t="str">
        <x:v>T-001</x:v>
      </x:c>
      <x:c r="K8" s="26" t="n">
        <x:v>0.9</x:v>
      </x:c>
      <x:c r="L8" s="24" t="str">
        <x:v>DOCUMENT_REGISTER.md</x:v>
      </x:c>
      <x:c r="M8" s="24" t="str">
        <x:v>Duplicate and obsolete documents may be used.</x:v>
      </x:c>
      <x:c r="N8" s="24" t="str">
        <x:v>Upload and maintain register.</x:v>
      </x:c>
      <x:c r="O8" s="24" t="str">
        <x:v>Phase 1</x:v>
      </x:c>
      <x:c r="P8" s="24" t="str"/>
    </x:row>
    <x:row r="9">
      <x:c r="A9" t="str">
        <x:v>T-005</x:v>
      </x:c>
      <x:c r="B9" t="str">
        <x:v>Repository Governance</x:v>
      </x:c>
      <x:c r="C9" s="24" t="str">
        <x:v>Security policy</x:v>
      </x:c>
      <x:c r="D9" s="24" t="str">
        <x:v>Define repository security, privacy, secret, and restricted-content rules.</x:v>
      </x:c>
      <x:c r="E9" s="24" t="str">
        <x:v>High</x:v>
      </x:c>
      <x:c r="F9" s="24" t="str">
        <x:v>Prepared</x:v>
      </x:c>
      <x:c r="G9" s="25" t="n">
        <x:v>46222</x:v>
      </x:c>
      <x:c r="H9" s="25" t="n">
        <x:v>46226</x:v>
      </x:c>
      <x:c r="I9" s="24" t="str">
        <x:v>Security</x:v>
      </x:c>
      <x:c r="J9" s="24" t="str">
        <x:v>T-001</x:v>
      </x:c>
      <x:c r="K9" s="26" t="n">
        <x:v>0.9</x:v>
      </x:c>
      <x:c r="L9" s="24" t="str">
        <x:v>SECURITY.md</x:v>
      </x:c>
      <x:c r="M9" s="24" t="str">
        <x:v>Sensitive materials may be exposed.</x:v>
      </x:c>
      <x:c r="N9" s="24" t="str">
        <x:v>Upload policy and review repository.</x:v>
      </x:c>
      <x:c r="O9" s="24" t="str">
        <x:v>Phase 1</x:v>
      </x:c>
      <x:c r="P9" s="24" t="str"/>
    </x:row>
    <x:row r="10">
      <x:c r="A10" t="str">
        <x:v>T-006</x:v>
      </x:c>
      <x:c r="B10" t="str">
        <x:v>Repository Governance</x:v>
      </x:c>
      <x:c r="C10" s="24" t="str">
        <x:v>Contribution guide</x:v>
      </x:c>
      <x:c r="D10" s="24" t="str">
        <x:v>Introduce branch, pull-request, naming, validation, and review rules.</x:v>
      </x:c>
      <x:c r="E10" s="24" t="str">
        <x:v>Medium</x:v>
      </x:c>
      <x:c r="F10" s="24" t="str">
        <x:v>Prepared</x:v>
      </x:c>
      <x:c r="G10" s="25" t="n">
        <x:v>46222</x:v>
      </x:c>
      <x:c r="H10" s="25" t="n">
        <x:v>46227</x:v>
      </x:c>
      <x:c r="I10" s="24" t="str">
        <x:v>Project Lead</x:v>
      </x:c>
      <x:c r="J10" s="24" t="str">
        <x:v>T-001</x:v>
      </x:c>
      <x:c r="K10" s="26" t="n">
        <x:v>0.9</x:v>
      </x:c>
      <x:c r="L10" s="24" t="str">
        <x:v>CONTRIBUTING.md</x:v>
      </x:c>
      <x:c r="M10" s="24" t="str">
        <x:v>Inconsistent contributions and naming.</x:v>
      </x:c>
      <x:c r="N10" s="24" t="str">
        <x:v>Upload contribution guide.</x:v>
      </x:c>
      <x:c r="O10" s="24" t="str">
        <x:v>Phase 1</x:v>
      </x:c>
      <x:c r="P10" s="24" t="str"/>
    </x:row>
    <x:row r="11">
      <x:c r="A11" t="str">
        <x:v>T-007</x:v>
      </x:c>
      <x:c r="B11" t="str">
        <x:v>Repository Governance</x:v>
      </x:c>
      <x:c r="C11" s="24" t="str">
        <x:v>Licence decision</x:v>
      </x:c>
      <x:c r="D11" s="24" t="str">
        <x:v>Approve public/private content model and reuse rights.</x:v>
      </x:c>
      <x:c r="E11" s="24" t="str">
        <x:v>Critical</x:v>
      </x:c>
      <x:c r="F11" s="24" t="str">
        <x:v>Not Started</x:v>
      </x:c>
      <x:c r="G11" s="25" t="n">
        <x:v>46223</x:v>
      </x:c>
      <x:c r="H11" s="25" t="n">
        <x:v>46228</x:v>
      </x:c>
      <x:c r="I11" s="24" t="str">
        <x:v>Founder / Legal</x:v>
      </x:c>
      <x:c r="J11" s="24" t="str">
        <x:v>Management decision</x:v>
      </x:c>
      <x:c r="K11" s="26" t="n">
        <x:v>0</x:v>
      </x:c>
      <x:c r="L11" s="24" t="str">
        <x:v>LICENSE_DECISION_GUIDE.md</x:v>
      </x:c>
      <x:c r="M11" s="24" t="str">
        <x:v>Public content may be copied or commercialized without clear terms.</x:v>
      </x:c>
      <x:c r="N11" s="24" t="str">
        <x:v>Approve licence model.</x:v>
      </x:c>
      <x:c r="O11" s="24" t="str">
        <x:v>Phase 1</x:v>
      </x:c>
      <x:c r="P11" s="24" t="str"/>
    </x:row>
    <x:row r="12">
      <x:c r="A12" t="str">
        <x:v>T-008</x:v>
      </x:c>
      <x:c r="B12" t="str">
        <x:v>Repository Governance</x:v>
      </x:c>
      <x:c r="C12" s="24" t="str">
        <x:v>Public/private repository split</x:v>
      </x:c>
      <x:c r="D12" s="24" t="str">
        <x:v>Move answer keys, assessments, moderation records, and proprietary operations to restricted storage.</x:v>
      </x:c>
      <x:c r="E12" s="24" t="str">
        <x:v>Critical</x:v>
      </x:c>
      <x:c r="F12" s="24" t="str">
        <x:v>Not Started</x:v>
      </x:c>
      <x:c r="G12" s="25" t="n">
        <x:v>46224</x:v>
      </x:c>
      <x:c r="H12" s="25" t="n">
        <x:v>46234</x:v>
      </x:c>
      <x:c r="I12" s="24" t="str">
        <x:v>Founder / Academic Affairs</x:v>
      </x:c>
      <x:c r="J12" s="24" t="str">
        <x:v>T-007</x:v>
      </x:c>
      <x:c r="K12" s="26" t="n">
        <x:v>0</x:v>
      </x:c>
      <x:c r="L12" s="24" t="str">
        <x:v>REPOSITORY_CLEANUP_PLAN.md</x:v>
      </x:c>
      <x:c r="M12" s="24" t="str">
        <x:v>Restricted content may remain public.</x:v>
      </x:c>
      <x:c r="N12" s="24" t="str">
        <x:v>Classify and relocate materials.</x:v>
      </x:c>
      <x:c r="O12" s="24" t="str">
        <x:v>Phase 1</x:v>
      </x:c>
      <x:c r="P12" s="24" t="str"/>
    </x:row>
    <x:row r="13">
      <x:c r="A13" t="str">
        <x:v>T-009</x:v>
      </x:c>
      <x:c r="B13" t="str">
        <x:v>Repository Governance</x:v>
      </x:c>
      <x:c r="C13" s="24" t="str">
        <x:v>Duplicate cleanup</x:v>
      </x:c>
      <x:c r="D13" s="24" t="str">
        <x:v>Remove unexplained duplicate SQL and workbook files from active folders.</x:v>
      </x:c>
      <x:c r="E13" s="24" t="str">
        <x:v>Medium</x:v>
      </x:c>
      <x:c r="F13" s="24" t="str">
        <x:v>Not Started</x:v>
      </x:c>
      <x:c r="G13" s="25" t="n">
        <x:v>46225</x:v>
      </x:c>
      <x:c r="H13" s="25" t="n">
        <x:v>46234</x:v>
      </x:c>
      <x:c r="I13" s="24" t="str">
        <x:v>Document Control</x:v>
      </x:c>
      <x:c r="J13" s="24" t="str">
        <x:v>T-004</x:v>
      </x:c>
      <x:c r="K13" s="26" t="n">
        <x:v>0</x:v>
      </x:c>
      <x:c r="L13" s="24" t="str">
        <x:v>19_Archive/Duplicates</x:v>
      </x:c>
      <x:c r="M13" s="24" t="str">
        <x:v>Confusion and version-control errors.</x:v>
      </x:c>
      <x:c r="N13" s="24" t="str">
        <x:v>Confirm canonical files and archive properly.</x:v>
      </x:c>
      <x:c r="O13" s="24" t="str">
        <x:v>Phase 1</x:v>
      </x:c>
      <x:c r="P13" s="24" t="str"/>
    </x:row>
    <x:row r="14">
      <x:c r="A14" t="str">
        <x:v>T-010</x:v>
      </x:c>
      <x:c r="B14" t="str">
        <x:v>Repository Governance</x:v>
      </x:c>
      <x:c r="C14" s="24" t="str">
        <x:v>Git LFS review</x:v>
      </x:c>
      <x:c r="D14" s="24" t="str">
        <x:v>Decide how DOCX, XLSX, PDF, and images will be versioned.</x:v>
      </x:c>
      <x:c r="E14" s="24" t="str">
        <x:v>Medium</x:v>
      </x:c>
      <x:c r="F14" s="24" t="str">
        <x:v>Not Started</x:v>
      </x:c>
      <x:c r="G14" s="25" t="n">
        <x:v>46225</x:v>
      </x:c>
      <x:c r="H14" s="25" t="n">
        <x:v>46234</x:v>
      </x:c>
      <x:c r="I14" s="24" t="str">
        <x:v>Technology</x:v>
      </x:c>
      <x:c r="J14" s="24" t="str">
        <x:v>Repository size review</x:v>
      </x:c>
      <x:c r="K14" s="26" t="n">
        <x:v>0</x:v>
      </x:c>
      <x:c r="L14" s="24" t="str">
        <x:v>.gitattributes</x:v>
      </x:c>
      <x:c r="M14" s="24" t="str">
        <x:v>Repository growth and poor binary history.</x:v>
      </x:c>
      <x:c r="N14" s="24" t="str">
        <x:v>Enable LFS or use releases.</x:v>
      </x:c>
      <x:c r="O14" s="24" t="str">
        <x:v>Phase 1</x:v>
      </x:c>
      <x:c r="P14" s="24" t="str"/>
    </x:row>
    <x:row r="15">
      <x:c r="A15" t="str">
        <x:v>T-011</x:v>
      </x:c>
      <x:c r="B15" t="str">
        <x:v>Academic Program</x:v>
      </x:c>
      <x:c r="C15" s="24" t="str">
        <x:v>Six-month diploma curriculum</x:v>
      </x:c>
      <x:c r="D15" s="24" t="str">
        <x:v>Approved 24-week program structure and graduation requirements.</x:v>
      </x:c>
      <x:c r="E15" s="24" t="str">
        <x:v>High</x:v>
      </x:c>
      <x:c r="F15" s="24" t="str">
        <x:v>Completed</x:v>
      </x:c>
      <x:c r="G15" s="25" t="n">
        <x:v>46204</x:v>
      </x:c>
      <x:c r="H15" s="25" t="n">
        <x:v>46222</x:v>
      </x:c>
      <x:c r="I15" s="24" t="str">
        <x:v>Academic Affairs</x:v>
      </x:c>
      <x:c r="J15" s="24" t="str">
        <x:v>None</x:v>
      </x:c>
      <x:c r="K15" s="26" t="n">
        <x:v>1</x:v>
      </x:c>
      <x:c r="L15" s="24" t="str">
        <x:v>02_Academics/Diploma_in_Data_Analytics</x:v>
      </x:c>
      <x:c r="M15" s="24" t="str">
        <x:v>None.</x:v>
      </x:c>
      <x:c r="N15" s="24" t="str">
        <x:v>Maintain through annual review.</x:v>
      </x:c>
      <x:c r="O15" s="24" t="str">
        <x:v>Phase 0</x:v>
      </x:c>
      <x:c r="P15" s="24" t="str"/>
    </x:row>
    <x:row r="16">
      <x:c r="A16" t="str">
        <x:v>T-012</x:v>
      </x:c>
      <x:c r="B16" t="str">
        <x:v>Academic Program</x:v>
      </x:c>
      <x:c r="C16" s="24" t="str">
        <x:v>24 weekly lesson plans</x:v>
      </x:c>
      <x:c r="D16" s="24" t="str">
        <x:v>Create detailed objectives, sequence, activities, homework, and instructor notes for each week.</x:v>
      </x:c>
      <x:c r="E16" s="24" t="str">
        <x:v>Critical</x:v>
      </x:c>
      <x:c r="F16" s="24" t="str">
        <x:v>In Progress</x:v>
      </x:c>
      <x:c r="G16" s="25" t="n">
        <x:v>46223</x:v>
      </x:c>
      <x:c r="H16" s="25" t="n">
        <x:v>46280</x:v>
      </x:c>
      <x:c r="I16" s="24" t="str">
        <x:v>Academic Affairs</x:v>
      </x:c>
      <x:c r="J16" s="24" t="str">
        <x:v>T-011</x:v>
      </x:c>
      <x:c r="K16" s="26" t="n">
        <x:v>0.2</x:v>
      </x:c>
      <x:c r="L16" s="24" t="str">
        <x:v>02_Academics/Lesson_Plans</x:v>
      </x:c>
      <x:c r="M16" s="24" t="str">
        <x:v>Curriculum cannot be delivered consistently.</x:v>
      </x:c>
      <x:c r="N16" s="24" t="str">
        <x:v>Build weeks 1–4 first.</x:v>
      </x:c>
      <x:c r="O16" s="24" t="str">
        <x:v>Phase 3</x:v>
      </x:c>
      <x:c r="P16" s="24" t="str"/>
    </x:row>
    <x:row r="17">
      <x:c r="A17" t="str">
        <x:v>T-013</x:v>
      </x:c>
      <x:c r="B17" t="str">
        <x:v>Academic Program</x:v>
      </x:c>
      <x:c r="C17" s="24" t="str">
        <x:v>Complete slide-deck series</x:v>
      </x:c>
      <x:c r="D17" s="24" t="str">
        <x:v>Develop professional teaching decks with relevant visuals for every lesson.</x:v>
      </x:c>
      <x:c r="E17" s="24" t="str">
        <x:v>High</x:v>
      </x:c>
      <x:c r="F17" s="24" t="str">
        <x:v>In Progress</x:v>
      </x:c>
      <x:c r="G17" s="25" t="n">
        <x:v>46223</x:v>
      </x:c>
      <x:c r="H17" s="25" t="n">
        <x:v>46285</x:v>
      </x:c>
      <x:c r="I17" s="24" t="str">
        <x:v>Academic Affairs</x:v>
      </x:c>
      <x:c r="J17" s="24" t="str">
        <x:v>T-012</x:v>
      </x:c>
      <x:c r="K17" s="26" t="n">
        <x:v>0.15</x:v>
      </x:c>
      <x:c r="L17" s="24" t="str">
        <x:v>07_Presentations</x:v>
      </x:c>
      <x:c r="M17" s="24" t="str">
        <x:v>Instructor delivery quality will vary.</x:v>
      </x:c>
      <x:c r="N17" s="24" t="str">
        <x:v>Complete Excel foundations series.</x:v>
      </x:c>
      <x:c r="O17" s="24" t="str">
        <x:v>Phase 3</x:v>
      </x:c>
      <x:c r="P17" s="24" t="str"/>
    </x:row>
    <x:row r="18">
      <x:c r="A18" t="str">
        <x:v>T-014</x:v>
      </x:c>
      <x:c r="B18" t="str">
        <x:v>Academic Program</x:v>
      </x:c>
      <x:c r="C18" s="24" t="str">
        <x:v>Assessment blueprint</x:v>
      </x:c>
      <x:c r="D18" s="24" t="str">
        <x:v>Map quizzes, practicals, projects, and examinations to outcomes and marks.</x:v>
      </x:c>
      <x:c r="E18" s="24" t="str">
        <x:v>High</x:v>
      </x:c>
      <x:c r="F18" s="24" t="str">
        <x:v>Not Started</x:v>
      </x:c>
      <x:c r="G18" s="25" t="n">
        <x:v>46235</x:v>
      </x:c>
      <x:c r="H18" s="25" t="n">
        <x:v>46275</x:v>
      </x:c>
      <x:c r="I18" s="24" t="str">
        <x:v>Assessment Lead</x:v>
      </x:c>
      <x:c r="J18" s="24" t="str">
        <x:v>T-011</x:v>
      </x:c>
      <x:c r="K18" s="26" t="n">
        <x:v>0</x:v>
      </x:c>
      <x:c r="L18" s="24" t="str">
        <x:v>10_Assessments/Assessment_Blueprint</x:v>
      </x:c>
      <x:c r="M18" s="24" t="str">
        <x:v>Learning outcomes may not be fully assessed.</x:v>
      </x:c>
      <x:c r="N18" s="24" t="str">
        <x:v>Create program assessment matrix.</x:v>
      </x:c>
      <x:c r="O18" s="24" t="str">
        <x:v>Phase 3</x:v>
      </x:c>
      <x:c r="P18" s="24" t="str"/>
    </x:row>
    <x:row r="19">
      <x:c r="A19" t="str">
        <x:v>T-015</x:v>
      </x:c>
      <x:c r="B19" t="str">
        <x:v>Academic Program</x:v>
      </x:c>
      <x:c r="C19" s="24" t="str">
        <x:v>Instructor resource controls</x:v>
      </x:c>
      <x:c r="D19" s="24" t="str">
        <x:v>Separate answer keys and marking schemes from student-visible content.</x:v>
      </x:c>
      <x:c r="E19" s="24" t="str">
        <x:v>Critical</x:v>
      </x:c>
      <x:c r="F19" s="24" t="str">
        <x:v>Not Started</x:v>
      </x:c>
      <x:c r="G19" s="25" t="n">
        <x:v>46224</x:v>
      </x:c>
      <x:c r="H19" s="25" t="n">
        <x:v>46239</x:v>
      </x:c>
      <x:c r="I19" s="24" t="str">
        <x:v>Academic Affairs / Security</x:v>
      </x:c>
      <x:c r="J19" s="24" t="str">
        <x:v>T-008</x:v>
      </x:c>
      <x:c r="K19" s="26" t="n">
        <x:v>0</x:v>
      </x:c>
      <x:c r="L19" s="24" t="str">
        <x:v>Private instructor repository</x:v>
      </x:c>
      <x:c r="M19" s="24" t="str">
        <x:v>Assessment integrity may be compromised.</x:v>
      </x:c>
      <x:c r="N19" s="24" t="str">
        <x:v>Identify restricted files.</x:v>
      </x:c>
      <x:c r="O19" s="24" t="str">
        <x:v>Phase 1</x:v>
      </x:c>
      <x:c r="P19" s="24" t="str"/>
    </x:row>
    <x:row r="20">
      <x:c r="A20" t="str">
        <x:v>T-016</x:v>
      </x:c>
      <x:c r="B20" t="str">
        <x:v>ABC Retail Database</x:v>
      </x:c>
      <x:c r="C20" s="24" t="str">
        <x:v>Phase 1 database</x:v>
      </x:c>
      <x:c r="D20" s="24" t="str">
        <x:v>Core relational database, seed data, data dictionary, ERD, and validation package.</x:v>
      </x:c>
      <x:c r="E20" s="24" t="str">
        <x:v>High</x:v>
      </x:c>
      <x:c r="F20" s="24" t="str">
        <x:v>Completed</x:v>
      </x:c>
      <x:c r="G20" s="25" t="n">
        <x:v>46204</x:v>
      </x:c>
      <x:c r="H20" s="25" t="n">
        <x:v>46222</x:v>
      </x:c>
      <x:c r="I20" s="24" t="str">
        <x:v>Technology / BI</x:v>
      </x:c>
      <x:c r="J20" s="24" t="str">
        <x:v>None</x:v>
      </x:c>
      <x:c r="K20" s="26" t="n">
        <x:v>1</x:v>
      </x:c>
      <x:c r="L20" s="24" t="str">
        <x:v>03_ABC_Retail_Ltd/Database_Design</x:v>
      </x:c>
      <x:c r="M20" s="24" t="str">
        <x:v>None.</x:v>
      </x:c>
      <x:c r="N20" s="24" t="str">
        <x:v>Freeze as version 1.0.</x:v>
      </x:c>
      <x:c r="O20" s="24" t="str">
        <x:v>Phase 0</x:v>
      </x:c>
      <x:c r="P20" s="24" t="str"/>
    </x:row>
    <x:row r="21">
      <x:c r="A21" t="str">
        <x:v>T-017</x:v>
      </x:c>
      <x:c r="B21" t="str">
        <x:v>ABC Retail Database</x:v>
      </x:c>
      <x:c r="C21" s="24" t="str">
        <x:v>Departmental casebook</x:v>
      </x:c>
      <x:c r="D21" s="24" t="str">
        <x:v>Upload 22 cases, 66 analytical questions, 22 KPIs, and instructor guide.</x:v>
      </x:c>
      <x:c r="E21" s="24" t="str">
        <x:v>High</x:v>
      </x:c>
      <x:c r="F21" s="24" t="str">
        <x:v>Prepared</x:v>
      </x:c>
      <x:c r="G21" s="25" t="n">
        <x:v>46222</x:v>
      </x:c>
      <x:c r="H21" s="25" t="n">
        <x:v>46228</x:v>
      </x:c>
      <x:c r="I21" s="24" t="str">
        <x:v>BI / Academic Affairs</x:v>
      </x:c>
      <x:c r="J21" s="24" t="str">
        <x:v>T-001</x:v>
      </x:c>
      <x:c r="K21" s="26" t="n">
        <x:v>0.9</x:v>
      </x:c>
      <x:c r="L21" s="24" t="str">
        <x:v>ABC_Retail_Departmental_Analytics_Casebook.xlsx</x:v>
      </x:c>
      <x:c r="M21" s="24" t="str">
        <x:v>Case-based delivery remains disconnected from repository.</x:v>
      </x:c>
      <x:c r="N21" s="24" t="str">
        <x:v>Upload prepared casebook package.</x:v>
      </x:c>
      <x:c r="O21" s="24" t="str">
        <x:v>Phase 1</x:v>
      </x:c>
      <x:c r="P21" s="24" t="str"/>
    </x:row>
    <x:row r="22">
      <x:c r="A22" t="str">
        <x:v>T-018</x:v>
      </x:c>
      <x:c r="B22" t="str">
        <x:v>ABC Retail Database</x:v>
      </x:c>
      <x:c r="C22" s="24" t="str">
        <x:v>Phase 2 conceptual design</x:v>
      </x:c>
      <x:c r="D22" s="24" t="str">
        <x:v>Design logistics, IT, security, risk, audit, and extended BI entities.</x:v>
      </x:c>
      <x:c r="E22" s="24" t="str">
        <x:v>Critical</x:v>
      </x:c>
      <x:c r="F22" s="24" t="str">
        <x:v>Not Started</x:v>
      </x:c>
      <x:c r="G22" s="25" t="n">
        <x:v>46228</x:v>
      </x:c>
      <x:c r="H22" s="25" t="n">
        <x:v>46237</x:v>
      </x:c>
      <x:c r="I22" s="24" t="str">
        <x:v>Data Architect</x:v>
      </x:c>
      <x:c r="J22" s="24" t="str">
        <x:v>T-016,T-017</x:v>
      </x:c>
      <x:c r="K22" s="26" t="n">
        <x:v>0</x:v>
      </x:c>
      <x:c r="L22" s="24" t="str">
        <x:v>ABC_RETAIL_PHASE2_SCOPE.md</x:v>
      </x:c>
      <x:c r="M22" s="24" t="str">
        <x:v>Casebook references tables that do not exist.</x:v>
      </x:c>
      <x:c r="N22" s="24" t="str">
        <x:v>Approve Phase 2 entity list.</x:v>
      </x:c>
      <x:c r="O22" s="24" t="str">
        <x:v>Phase 2</x:v>
      </x:c>
      <x:c r="P22" s="24" t="str"/>
    </x:row>
    <x:row r="23">
      <x:c r="A23" t="str">
        <x:v>T-019</x:v>
      </x:c>
      <x:c r="B23" t="str">
        <x:v>ABC Retail Database</x:v>
      </x:c>
      <x:c r="C23" s="24" t="str">
        <x:v>Phase 2 SQL schema</x:v>
      </x:c>
      <x:c r="D23" s="24" t="str">
        <x:v>Create tables, constraints, relationships, indexes, views, and security-ready structure.</x:v>
      </x:c>
      <x:c r="E23" s="24" t="str">
        <x:v>Critical</x:v>
      </x:c>
      <x:c r="F23" s="24" t="str">
        <x:v>Not Started</x:v>
      </x:c>
      <x:c r="G23" s="25" t="n">
        <x:v>46237</x:v>
      </x:c>
      <x:c r="H23" s="25" t="n">
        <x:v>46246</x:v>
      </x:c>
      <x:c r="I23" s="24" t="str">
        <x:v>Database Developer</x:v>
      </x:c>
      <x:c r="J23" s="24" t="str">
        <x:v>T-018</x:v>
      </x:c>
      <x:c r="K23" s="26" t="n">
        <x:v>0</x:v>
      </x:c>
      <x:c r="L23" s="24" t="str">
        <x:v>ABC_Retail_Phase2_SQLServer.sql</x:v>
      </x:c>
      <x:c r="M23" s="24" t="str">
        <x:v>Departmental cases cannot run.</x:v>
      </x:c>
      <x:c r="N23" s="24" t="str">
        <x:v>Build logistics schema first.</x:v>
      </x:c>
      <x:c r="O23" s="24" t="str">
        <x:v>Phase 2</x:v>
      </x:c>
      <x:c r="P23" s="24" t="str"/>
    </x:row>
    <x:row r="24">
      <x:c r="A24" t="str">
        <x:v>T-020</x:v>
      </x:c>
      <x:c r="B24" t="str">
        <x:v>ABC Retail Database</x:v>
      </x:c>
      <x:c r="C24" s="24" t="str">
        <x:v>Phase 2 synthetic seed data</x:v>
      </x:c>
      <x:c r="D24" s="24" t="str">
        <x:v>Generate realistic fictional logistics, IT, security, risk, and audit records.</x:v>
      </x:c>
      <x:c r="E24" s="24" t="str">
        <x:v>Critical</x:v>
      </x:c>
      <x:c r="F24" s="24" t="str">
        <x:v>Not Started</x:v>
      </x:c>
      <x:c r="G24" s="25" t="n">
        <x:v>46244</x:v>
      </x:c>
      <x:c r="H24" s="25" t="n">
        <x:v>46252</x:v>
      </x:c>
      <x:c r="I24" s="24" t="str">
        <x:v>Database Developer</x:v>
      </x:c>
      <x:c r="J24" s="24" t="str">
        <x:v>T-019</x:v>
      </x:c>
      <x:c r="K24" s="26" t="n">
        <x:v>0</x:v>
      </x:c>
      <x:c r="L24" s="24" t="str">
        <x:v>ABC_Retail_Phase2_SeedData.sql</x:v>
      </x:c>
      <x:c r="M24" s="24" t="str">
        <x:v>Dashboards and assessments will lack data.</x:v>
      </x:c>
      <x:c r="N24" s="24" t="str">
        <x:v>Define minimum record volumes.</x:v>
      </x:c>
      <x:c r="O24" s="24" t="str">
        <x:v>Phase 2</x:v>
      </x:c>
      <x:c r="P24" s="24" t="str"/>
    </x:row>
    <x:row r="25">
      <x:c r="A25" t="str">
        <x:v>T-021</x:v>
      </x:c>
      <x:c r="B25" t="str">
        <x:v>ABC Retail Database</x:v>
      </x:c>
      <x:c r="C25" s="24" t="str">
        <x:v>Phase 2 data dictionary and ERD</x:v>
      </x:c>
      <x:c r="D25" s="24" t="str">
        <x:v>Document every new table, column, relationship, business rule, and index.</x:v>
      </x:c>
      <x:c r="E25" s="24" t="str">
        <x:v>High</x:v>
      </x:c>
      <x:c r="F25" s="24" t="str">
        <x:v>Not Started</x:v>
      </x:c>
      <x:c r="G25" s="25" t="n">
        <x:v>46246</x:v>
      </x:c>
      <x:c r="H25" s="25" t="n">
        <x:v>46255</x:v>
      </x:c>
      <x:c r="I25" s="24" t="str">
        <x:v>Data Architect</x:v>
      </x:c>
      <x:c r="J25" s="24" t="str">
        <x:v>T-019</x:v>
      </x:c>
      <x:c r="K25" s="26" t="n">
        <x:v>0</x:v>
      </x:c>
      <x:c r="L25" s="24" t="str">
        <x:v>Phase 2 dictionary and ERD</x:v>
      </x:c>
      <x:c r="M25" s="24" t="str">
        <x:v>Users may misinterpret data.</x:v>
      </x:c>
      <x:c r="N25" s="24" t="str">
        <x:v>Generate documentation after schema freeze.</x:v>
      </x:c>
      <x:c r="O25" s="24" t="str">
        <x:v>Phase 2</x:v>
      </x:c>
      <x:c r="P25" s="24" t="str"/>
    </x:row>
    <x:row r="26">
      <x:c r="A26" t="str">
        <x:v>T-022</x:v>
      </x:c>
      <x:c r="B26" t="str">
        <x:v>ABC Retail Database</x:v>
      </x:c>
      <x:c r="C26" s="24" t="str">
        <x:v>Casebook reconciliation test</x:v>
      </x:c>
      <x:c r="D26" s="24" t="str">
        <x:v>Confirm every question can be answered from actual seeded data.</x:v>
      </x:c>
      <x:c r="E26" s="24" t="str">
        <x:v>Critical</x:v>
      </x:c>
      <x:c r="F26" s="24" t="str">
        <x:v>Not Started</x:v>
      </x:c>
      <x:c r="G26" s="25" t="n">
        <x:v>46252</x:v>
      </x:c>
      <x:c r="H26" s="25" t="n">
        <x:v>46257</x:v>
      </x:c>
      <x:c r="I26" s="24" t="str">
        <x:v>BI / QA</x:v>
      </x:c>
      <x:c r="J26" s="24" t="str">
        <x:v>T-020,T-021</x:v>
      </x:c>
      <x:c r="K26" s="26" t="n">
        <x:v>0</x:v>
      </x:c>
      <x:c r="L26" s="24" t="str">
        <x:v>Casebook traceability matrix</x:v>
      </x:c>
      <x:c r="M26" s="24" t="str">
        <x:v>Training tasks may be impossible or inaccurate.</x:v>
      </x:c>
      <x:c r="N26" s="24" t="str">
        <x:v>Create question-to-table matrix.</x:v>
      </x:c>
      <x:c r="O26" s="24" t="str">
        <x:v>Phase 2</x:v>
      </x:c>
      <x:c r="P26" s="24" t="str"/>
    </x:row>
    <x:row r="27">
      <x:c r="A27" t="str">
        <x:v>T-023</x:v>
      </x:c>
      <x:c r="B27" t="str">
        <x:v>Excel Training</x:v>
      </x:c>
      <x:c r="C27" s="24" t="str">
        <x:v>Beginner Excel package</x:v>
      </x:c>
      <x:c r="D27" s="24" t="str">
        <x:v>Clean/messy datasets, practical workbook, rubric, and answer materials.</x:v>
      </x:c>
      <x:c r="E27" s="24" t="str">
        <x:v>High</x:v>
      </x:c>
      <x:c r="F27" s="24" t="str">
        <x:v>Completed</x:v>
      </x:c>
      <x:c r="G27" s="25" t="n">
        <x:v>46204</x:v>
      </x:c>
      <x:c r="H27" s="25" t="n">
        <x:v>46218</x:v>
      </x:c>
      <x:c r="I27" s="24" t="str">
        <x:v>Academic Affairs</x:v>
      </x:c>
      <x:c r="J27" s="24" t="str">
        <x:v>None</x:v>
      </x:c>
      <x:c r="K27" s="26" t="n">
        <x:v>1</x:v>
      </x:c>
      <x:c r="L27" s="24" t="str">
        <x:v>04_Datasets/Excel</x:v>
      </x:c>
      <x:c r="M27" s="24" t="str">
        <x:v>None.</x:v>
      </x:c>
      <x:c r="N27" s="24" t="str">
        <x:v>Pilot and improve.</x:v>
      </x:c>
      <x:c r="O27" s="24" t="str">
        <x:v>Phase 0</x:v>
      </x:c>
      <x:c r="P27" s="24" t="str"/>
    </x:row>
    <x:row r="28">
      <x:c r="A28" t="str">
        <x:v>T-024</x:v>
      </x:c>
      <x:c r="B28" t="str">
        <x:v>Excel Training</x:v>
      </x:c>
      <x:c r="C28" s="24" t="str">
        <x:v>Intermediate Excel package</x:v>
      </x:c>
      <x:c r="D28" s="24" t="str">
        <x:v>Functions, lookup, pivot tables, charts, validation, and business analysis.</x:v>
      </x:c>
      <x:c r="E28" s="24" t="str">
        <x:v>High</x:v>
      </x:c>
      <x:c r="F28" s="24" t="str">
        <x:v>Not Started</x:v>
      </x:c>
      <x:c r="G28" s="25" t="n">
        <x:v>46249</x:v>
      </x:c>
      <x:c r="H28" s="25" t="n">
        <x:v>46280</x:v>
      </x:c>
      <x:c r="I28" s="24" t="str">
        <x:v>Excel Instructor</x:v>
      </x:c>
      <x:c r="J28" s="24" t="str">
        <x:v>T-023</x:v>
      </x:c>
      <x:c r="K28" s="26" t="n">
        <x:v>0</x:v>
      </x:c>
      <x:c r="L28" s="24" t="str">
        <x:v>02_Academics/Excel_Intermediate</x:v>
      </x:c>
      <x:c r="M28" s="24" t="str">
        <x:v>Skill progression will stop at beginner level.</x:v>
      </x:c>
      <x:c r="N28" s="24" t="str">
        <x:v>Define six practical labs.</x:v>
      </x:c>
      <x:c r="O28" s="24" t="str">
        <x:v>Phase 3</x:v>
      </x:c>
      <x:c r="P28" s="24" t="str"/>
    </x:row>
    <x:row r="29">
      <x:c r="A29" t="str">
        <x:v>T-025</x:v>
      </x:c>
      <x:c r="B29" t="str">
        <x:v>SQL Training</x:v>
      </x:c>
      <x:c r="C29" s="24" t="str">
        <x:v>Beginner SQL package</x:v>
      </x:c>
      <x:c r="D29" s="24" t="str">
        <x:v>Student workbook, instructor answer key, and training guide.</x:v>
      </x:c>
      <x:c r="E29" s="24" t="str">
        <x:v>High</x:v>
      </x:c>
      <x:c r="F29" s="24" t="str">
        <x:v>Completed</x:v>
      </x:c>
      <x:c r="G29" s="25" t="n">
        <x:v>46204</x:v>
      </x:c>
      <x:c r="H29" s="25" t="n">
        <x:v>46222</x:v>
      </x:c>
      <x:c r="I29" s="24" t="str">
        <x:v>SQL Instructor</x:v>
      </x:c>
      <x:c r="J29" s="24" t="str">
        <x:v>T-016</x:v>
      </x:c>
      <x:c r="K29" s="26" t="n">
        <x:v>1</x:v>
      </x:c>
      <x:c r="L29" s="24" t="str">
        <x:v>05_SQL/Beginner_Training_Package</x:v>
      </x:c>
      <x:c r="M29" s="24" t="str">
        <x:v>None.</x:v>
      </x:c>
      <x:c r="N29" s="24" t="str">
        <x:v>Pilot and validate timings.</x:v>
      </x:c>
      <x:c r="O29" s="24" t="str">
        <x:v>Phase 0</x:v>
      </x:c>
      <x:c r="P29" s="24" t="str"/>
    </x:row>
    <x:row r="30">
      <x:c r="A30" t="str">
        <x:v>T-026</x:v>
      </x:c>
      <x:c r="B30" t="str">
        <x:v>SQL Training</x:v>
      </x:c>
      <x:c r="C30" s="24" t="str">
        <x:v>Intermediate SQL package</x:v>
      </x:c>
      <x:c r="D30" s="24" t="str">
        <x:v>CTEs, window functions, views, procedures, validation, and performance concepts.</x:v>
      </x:c>
      <x:c r="E30" s="24" t="str">
        <x:v>High</x:v>
      </x:c>
      <x:c r="F30" s="24" t="str">
        <x:v>Not Started</x:v>
      </x:c>
      <x:c r="G30" s="25" t="n">
        <x:v>46254</x:v>
      </x:c>
      <x:c r="H30" s="25" t="n">
        <x:v>46290</x:v>
      </x:c>
      <x:c r="I30" s="24" t="str">
        <x:v>SQL Instructor</x:v>
      </x:c>
      <x:c r="J30" s="24" t="str">
        <x:v>T-019</x:v>
      </x:c>
      <x:c r="K30" s="26" t="n">
        <x:v>0</x:v>
      </x:c>
      <x:c r="L30" s="24" t="str">
        <x:v>05_SQL/Intermediate_Training_Package</x:v>
      </x:c>
      <x:c r="M30" s="24" t="str">
        <x:v>Learners will not progress beyond core queries.</x:v>
      </x:c>
      <x:c r="N30" s="24" t="str">
        <x:v>Design cases from Phase 2.</x:v>
      </x:c>
      <x:c r="O30" s="24" t="str">
        <x:v>Phase 3</x:v>
      </x:c>
      <x:c r="P30" s="24" t="str"/>
    </x:row>
    <x:row r="31">
      <x:c r="A31" t="str">
        <x:v>T-027</x:v>
      </x:c>
      <x:c r="B31" t="str">
        <x:v>Power BI</x:v>
      </x:c>
      <x:c r="C31" s="24" t="str">
        <x:v>Beginner Power BI package</x:v>
      </x:c>
      <x:c r="D31" s="24" t="str">
        <x:v>Source data, DAX measures, lab guide, and assessment.</x:v>
      </x:c>
      <x:c r="E31" s="24" t="str">
        <x:v>High</x:v>
      </x:c>
      <x:c r="F31" s="24" t="str">
        <x:v>Completed</x:v>
      </x:c>
      <x:c r="G31" s="25" t="n">
        <x:v>46204</x:v>
      </x:c>
      <x:c r="H31" s="25" t="n">
        <x:v>46222</x:v>
      </x:c>
      <x:c r="I31" s="24" t="str">
        <x:v>BI Instructor</x:v>
      </x:c>
      <x:c r="J31" s="24" t="str">
        <x:v>None</x:v>
      </x:c>
      <x:c r="K31" s="26" t="n">
        <x:v>1</x:v>
      </x:c>
      <x:c r="L31" s="24" t="str">
        <x:v>06_Power_BI/Beginner_Training_Package</x:v>
      </x:c>
      <x:c r="M31" s="24" t="str">
        <x:v>None.</x:v>
      </x:c>
      <x:c r="N31" s="24" t="str">
        <x:v>Pilot and validate measures.</x:v>
      </x:c>
      <x:c r="O31" s="24" t="str">
        <x:v>Phase 0</x:v>
      </x:c>
      <x:c r="P31" s="24" t="str"/>
    </x:row>
    <x:row r="32">
      <x:c r="A32" t="str">
        <x:v>T-028</x:v>
      </x:c>
      <x:c r="B32" t="str">
        <x:v>Power BI</x:v>
      </x:c>
      <x:c r="C32" s="24" t="str">
        <x:v>Enterprise semantic model</x:v>
      </x:c>
      <x:c r="D32" s="24" t="str">
        <x:v>Create a consistent star schema covering Phase 1 and Phase 2 subject areas.</x:v>
      </x:c>
      <x:c r="E32" s="24" t="str">
        <x:v>Critical</x:v>
      </x:c>
      <x:c r="F32" s="24" t="str">
        <x:v>Not Started</x:v>
      </x:c>
      <x:c r="G32" s="25" t="n">
        <x:v>46266</x:v>
      </x:c>
      <x:c r="H32" s="25" t="n">
        <x:v>46277</x:v>
      </x:c>
      <x:c r="I32" s="24" t="str">
        <x:v>BI Developer</x:v>
      </x:c>
      <x:c r="J32" s="24" t="str">
        <x:v>T-020,T-021</x:v>
      </x:c>
      <x:c r="K32" s="26" t="n">
        <x:v>0</x:v>
      </x:c>
      <x:c r="L32" s="24" t="str">
        <x:v>ABC_Retail_Enterprise_Model</x:v>
      </x:c>
      <x:c r="M32" s="24" t="str">
        <x:v>Dashboards may use inconsistent definitions.</x:v>
      </x:c>
      <x:c r="N32" s="24" t="str">
        <x:v>Approve model grain and dimensions.</x:v>
      </x:c>
      <x:c r="O32" s="24" t="str">
        <x:v>Phase 4</x:v>
      </x:c>
      <x:c r="P32" s="24" t="str"/>
    </x:row>
    <x:row r="33">
      <x:c r="A33" t="str">
        <x:v>T-029</x:v>
      </x:c>
      <x:c r="B33" t="str">
        <x:v>Power BI</x:v>
      </x:c>
      <x:c r="C33" s="24" t="str">
        <x:v>Departmental dashboard suite</x:v>
      </x:c>
      <x:c r="D33" s="24" t="str">
        <x:v>Build executive, sales, finance, HR, stock, logistics, marketing, service, IT, and security pages.</x:v>
      </x:c>
      <x:c r="E33" s="24" t="str">
        <x:v>Critical</x:v>
      </x:c>
      <x:c r="F33" s="24" t="str">
        <x:v>Not Started</x:v>
      </x:c>
      <x:c r="G33" s="25" t="n">
        <x:v>46275</x:v>
      </x:c>
      <x:c r="H33" s="25" t="n">
        <x:v>46295</x:v>
      </x:c>
      <x:c r="I33" s="24" t="str">
        <x:v>BI Developer</x:v>
      </x:c>
      <x:c r="J33" s="24" t="str">
        <x:v>T-028</x:v>
      </x:c>
      <x:c r="K33" s="26" t="n">
        <x:v>0</x:v>
      </x:c>
      <x:c r="L33" s="24" t="str">
        <x:v>06_Power_BI/Enterprise_Dashboards</x:v>
      </x:c>
      <x:c r="M33" s="24" t="str">
        <x:v>Capstone and demonstrations remain incomplete.</x:v>
      </x:c>
      <x:c r="N33" s="24" t="str">
        <x:v>Build executive and logistics pages first.</x:v>
      </x:c>
      <x:c r="O33" s="24" t="str">
        <x:v>Phase 4</x:v>
      </x:c>
      <x:c r="P33" s="24" t="str"/>
    </x:row>
    <x:row r="34">
      <x:c r="A34" t="str">
        <x:v>T-030</x:v>
      </x:c>
      <x:c r="B34" t="str">
        <x:v>Power BI</x:v>
      </x:c>
      <x:c r="C34" s="24" t="str">
        <x:v>KPI and DAX dictionary</x:v>
      </x:c>
      <x:c r="D34" s="24" t="str">
        <x:v>Document definitions, formulas, owners, targets, frequency, and reconciliation controls.</x:v>
      </x:c>
      <x:c r="E34" s="24" t="str">
        <x:v>High</x:v>
      </x:c>
      <x:c r="F34" s="24" t="str">
        <x:v>Prepared</x:v>
      </x:c>
      <x:c r="G34" s="25" t="n">
        <x:v>46222</x:v>
      </x:c>
      <x:c r="H34" s="25" t="n">
        <x:v>46280</x:v>
      </x:c>
      <x:c r="I34" s="24" t="str">
        <x:v>BI Governance</x:v>
      </x:c>
      <x:c r="J34" s="24" t="str">
        <x:v>T-017,T-028</x:v>
      </x:c>
      <x:c r="K34" s="26" t="n">
        <x:v>0.4</x:v>
      </x:c>
      <x:c r="L34" s="24" t="str">
        <x:v>Departmental Casebook KPI Catalog</x:v>
      </x:c>
      <x:c r="M34" s="24" t="str">
        <x:v>Different reports may calculate KPIs differently.</x:v>
      </x:c>
      <x:c r="N34" s="24" t="str">
        <x:v>Move KPI catalog to controlled register.</x:v>
      </x:c>
      <x:c r="O34" s="24" t="str">
        <x:v>Phase 4</x:v>
      </x:c>
      <x:c r="P34" s="24" t="str"/>
    </x:row>
    <x:row r="35">
      <x:c r="A35" t="str">
        <x:v>T-031</x:v>
      </x:c>
      <x:c r="B35" t="str">
        <x:v>AI and Governance</x:v>
      </x:c>
      <x:c r="C35" s="24" t="str">
        <x:v>AI for Analysts package</x:v>
      </x:c>
      <x:c r="D35" s="24" t="str">
        <x:v>Workbook, training guide, prompt library, and assessment.</x:v>
      </x:c>
      <x:c r="E35" s="24" t="str">
        <x:v>High</x:v>
      </x:c>
      <x:c r="F35" s="24" t="str">
        <x:v>Completed</x:v>
      </x:c>
      <x:c r="G35" s="25" t="n">
        <x:v>46204</x:v>
      </x:c>
      <x:c r="H35" s="25" t="n">
        <x:v>46222</x:v>
      </x:c>
      <x:c r="I35" s="24" t="str">
        <x:v>AI Instructor</x:v>
      </x:c>
      <x:c r="J35" s="24" t="str">
        <x:v>None</x:v>
      </x:c>
      <x:c r="K35" s="26" t="n">
        <x:v>1</x:v>
      </x:c>
      <x:c r="L35" s="24" t="str">
        <x:v>02_Academics/AI_for_Data_Analysts</x:v>
      </x:c>
      <x:c r="M35" s="24" t="str">
        <x:v>None.</x:v>
      </x:c>
      <x:c r="N35" s="24" t="str">
        <x:v>Review quarterly.</x:v>
      </x:c>
      <x:c r="O35" s="24" t="str">
        <x:v>Phase 0</x:v>
      </x:c>
      <x:c r="P35" s="24" t="str"/>
    </x:row>
    <x:row r="36">
      <x:c r="A36" t="str">
        <x:v>T-032</x:v>
      </x:c>
      <x:c r="B36" t="str">
        <x:v>AI and Governance</x:v>
      </x:c>
      <x:c r="C36" s="24" t="str">
        <x:v>Responsible AI policy</x:v>
      </x:c>
      <x:c r="D36" s="24" t="str">
        <x:v>Formalize permitted, restricted, prohibited, disclosed, and validated uses.</x:v>
      </x:c>
      <x:c r="E36" s="24" t="str">
        <x:v>High</x:v>
      </x:c>
      <x:c r="F36" s="24" t="str">
        <x:v>In Progress</x:v>
      </x:c>
      <x:c r="G36" s="25" t="n">
        <x:v>46222</x:v>
      </x:c>
      <x:c r="H36" s="25" t="n">
        <x:v>46249</x:v>
      </x:c>
      <x:c r="I36" s="24" t="str">
        <x:v>AI Governance / Security</x:v>
      </x:c>
      <x:c r="J36" s="24" t="str">
        <x:v>T-031</x:v>
      </x:c>
      <x:c r="K36" s="26" t="n">
        <x:v>0.5</x:v>
      </x:c>
      <x:c r="L36" s="24" t="str">
        <x:v>AI governance documentation</x:v>
      </x:c>
      <x:c r="M36" s="24" t="str">
        <x:v>Students may misuse AI or expose data.</x:v>
      </x:c>
      <x:c r="N36" s="24" t="str">
        <x:v>Approve policy and declaration form.</x:v>
      </x:c>
      <x:c r="O36" s="24" t="str">
        <x:v>Phase 3</x:v>
      </x:c>
      <x:c r="P36" s="24" t="str"/>
    </x:row>
    <x:row r="37">
      <x:c r="A37" t="str">
        <x:v>T-033</x:v>
      </x:c>
      <x:c r="B37" t="str">
        <x:v>Capstone</x:v>
      </x:c>
      <x:c r="C37" s="24" t="str">
        <x:v>Integrated capstone package</x:v>
      </x:c>
      <x:c r="D37" s="24" t="str">
        <x:v>Workbook, student brief, instructor guide, and defense rubric.</x:v>
      </x:c>
      <x:c r="E37" s="24" t="str">
        <x:v>High</x:v>
      </x:c>
      <x:c r="F37" s="24" t="str">
        <x:v>Completed</x:v>
      </x:c>
      <x:c r="G37" s="25" t="n">
        <x:v>46204</x:v>
      </x:c>
      <x:c r="H37" s="25" t="n">
        <x:v>46222</x:v>
      </x:c>
      <x:c r="I37" s="24" t="str">
        <x:v>Academic Affairs</x:v>
      </x:c>
      <x:c r="J37" s="24" t="str">
        <x:v>T-023,T-025,T-027,T-031</x:v>
      </x:c>
      <x:c r="K37" s="26" t="n">
        <x:v>1</x:v>
      </x:c>
      <x:c r="L37" s="24" t="str">
        <x:v>18_Projects/ABC_Retail_Capstone</x:v>
      </x:c>
      <x:c r="M37" s="24" t="str">
        <x:v>None.</x:v>
      </x:c>
      <x:c r="N37" s="24" t="str">
        <x:v>Update after Phase 2.</x:v>
      </x:c>
      <x:c r="O37" s="24" t="str">
        <x:v>Phase 0</x:v>
      </x:c>
      <x:c r="P37" s="24" t="str"/>
    </x:row>
    <x:row r="38">
      <x:c r="A38" t="str">
        <x:v>T-034</x:v>
      </x:c>
      <x:c r="B38" t="str">
        <x:v>Capstone</x:v>
      </x:c>
      <x:c r="C38" s="24" t="str">
        <x:v>Phase 2 capstone update</x:v>
      </x:c>
      <x:c r="D38" s="24" t="str">
        <x:v>Expand the capstone to logistics, IT, security, risk, and audit use cases.</x:v>
      </x:c>
      <x:c r="E38" s="24" t="str">
        <x:v>High</x:v>
      </x:c>
      <x:c r="F38" s="24" t="str">
        <x:v>Not Started</x:v>
      </x:c>
      <x:c r="G38" s="25" t="n">
        <x:v>46280</x:v>
      </x:c>
      <x:c r="H38" s="25" t="n">
        <x:v>46300</x:v>
      </x:c>
      <x:c r="I38" s="24" t="str">
        <x:v>Academic Affairs / BI</x:v>
      </x:c>
      <x:c r="J38" s="24" t="str">
        <x:v>T-022,T-029</x:v>
      </x:c>
      <x:c r="K38" s="26" t="n">
        <x:v>0</x:v>
      </x:c>
      <x:c r="L38" s="24" t="str">
        <x:v>18_Projects/ABC_Retail_Capstone_v2</x:v>
      </x:c>
      <x:c r="M38" s="24" t="str">
        <x:v>Current capstone will not use the full enterprise.</x:v>
      </x:c>
      <x:c r="N38" s="24" t="str">
        <x:v>Define cross-department challenge.</x:v>
      </x:c>
      <x:c r="O38" s="24" t="str">
        <x:v>Phase 4</x:v>
      </x:c>
      <x:c r="P38" s="24" t="str"/>
    </x:row>
    <x:row r="39">
      <x:c r="A39" t="str">
        <x:v>T-035</x:v>
      </x:c>
      <x:c r="B39" t="str">
        <x:v>Quality Assurance</x:v>
      </x:c>
      <x:c r="C39" s="24" t="str">
        <x:v>Pilot cohort plan</x:v>
      </x:c>
      <x:c r="D39" s="24" t="str">
        <x:v>Select pilot group, delivery schedule, instructors, modules, and success criteria.</x:v>
      </x:c>
      <x:c r="E39" s="24" t="str">
        <x:v>Critical</x:v>
      </x:c>
      <x:c r="F39" s="24" t="str">
        <x:v>Not Started</x:v>
      </x:c>
      <x:c r="G39" s="25" t="n">
        <x:v>46280</x:v>
      </x:c>
      <x:c r="H39" s="25" t="n">
        <x:v>46295</x:v>
      </x:c>
      <x:c r="I39" s="24" t="str">
        <x:v>Academy Management</x:v>
      </x:c>
      <x:c r="J39" s="24" t="str">
        <x:v>T-012,T-014</x:v>
      </x:c>
      <x:c r="K39" s="26" t="n">
        <x:v>0</x:v>
      </x:c>
      <x:c r="L39" s="24" t="str">
        <x:v>Pilot_Plan_2026</x:v>
      </x:c>
      <x:c r="M39" s="24" t="str">
        <x:v>Full launch may occur without evidence.</x:v>
      </x:c>
      <x:c r="N39" s="24" t="str">
        <x:v>Approve pilot scope.</x:v>
      </x:c>
      <x:c r="O39" s="24" t="str">
        <x:v>Phase 5</x:v>
      </x:c>
      <x:c r="P39" s="24" t="str"/>
    </x:row>
    <x:row r="40">
      <x:c r="A40" t="str">
        <x:v>T-036</x:v>
      </x:c>
      <x:c r="B40" t="str">
        <x:v>Quality Assurance</x:v>
      </x:c>
      <x:c r="C40" s="24" t="str">
        <x:v>Quality and feedback tools</x:v>
      </x:c>
      <x:c r="D40" s="24" t="str">
        <x:v>Create observation, feedback, moderation, defect, and corrective-action forms.</x:v>
      </x:c>
      <x:c r="E40" s="24" t="str">
        <x:v>High</x:v>
      </x:c>
      <x:c r="F40" s="24" t="str">
        <x:v>Not Started</x:v>
      </x:c>
      <x:c r="G40" s="25" t="n">
        <x:v>46285</x:v>
      </x:c>
      <x:c r="H40" s="25" t="n">
        <x:v>46300</x:v>
      </x:c>
      <x:c r="I40" s="24" t="str">
        <x:v>Quality Manager</x:v>
      </x:c>
      <x:c r="J40" s="24" t="str">
        <x:v>T-035</x:v>
      </x:c>
      <x:c r="K40" s="26" t="n">
        <x:v>0</x:v>
      </x:c>
      <x:c r="L40" s="24" t="str">
        <x:v>01_Governance/Quality_Tools</x:v>
      </x:c>
      <x:c r="M40" s="24" t="str">
        <x:v>Problems may not be tracked consistently.</x:v>
      </x:c>
      <x:c r="N40" s="24" t="str">
        <x:v>Build pilot QA pack.</x:v>
      </x:c>
      <x:c r="O40" s="24" t="str">
        <x:v>Phase 5</x:v>
      </x:c>
      <x:c r="P40" s="24" t="str"/>
    </x:row>
    <x:row r="41">
      <x:c r="A41" t="str">
        <x:v>T-037</x:v>
      </x:c>
      <x:c r="B41" t="str">
        <x:v>Quality Assurance</x:v>
      </x:c>
      <x:c r="C41" s="24" t="str">
        <x:v>Pilot delivery and review</x:v>
      </x:c>
      <x:c r="D41" s="24" t="str">
        <x:v>Run selected modules, assess outcomes, correct defects, and issue review report.</x:v>
      </x:c>
      <x:c r="E41" s="24" t="str">
        <x:v>Critical</x:v>
      </x:c>
      <x:c r="F41" s="24" t="str">
        <x:v>Not Started</x:v>
      </x:c>
      <x:c r="G41" s="25" t="n">
        <x:v>46300</x:v>
      </x:c>
      <x:c r="H41" s="25" t="n">
        <x:v>46326</x:v>
      </x:c>
      <x:c r="I41" s="24" t="str">
        <x:v>Academy Management</x:v>
      </x:c>
      <x:c r="J41" s="24" t="str">
        <x:v>T-035,T-036</x:v>
      </x:c>
      <x:c r="K41" s="26" t="n">
        <x:v>0</x:v>
      </x:c>
      <x:c r="L41" s="24" t="str">
        <x:v>Pilot_Completion_Report</x:v>
      </x:c>
      <x:c r="M41" s="24" t="str">
        <x:v>Program quality remains unproven.</x:v>
      </x:c>
      <x:c r="N41" s="24" t="str">
        <x:v>Enroll pilot learners.</x:v>
      </x:c>
      <x:c r="O41" s="24" t="str">
        <x:v>Phase 5</x:v>
      </x:c>
      <x:c r="P41" s="24" t="str"/>
    </x:row>
    <x:row r="42">
      <x:c r="A42" t="str">
        <x:v>T-038</x:v>
      </x:c>
      <x:c r="B42" t="str">
        <x:v>Deployment</x:v>
      </x:c>
      <x:c r="C42" s="24" t="str">
        <x:v>Learning management platform</x:v>
      </x:c>
      <x:c r="D42" s="24" t="str">
        <x:v>Deploy course content, enrollment, assignments, feedback, and progress tracking.</x:v>
      </x:c>
      <x:c r="E42" s="24" t="str">
        <x:v>High</x:v>
      </x:c>
      <x:c r="F42" s="24" t="str">
        <x:v>Not Started</x:v>
      </x:c>
      <x:c r="G42" s="25" t="n">
        <x:v>46310</x:v>
      </x:c>
      <x:c r="H42" s="25" t="n">
        <x:v>46356</x:v>
      </x:c>
      <x:c r="I42" s="24" t="str">
        <x:v>Technology / Operations</x:v>
      </x:c>
      <x:c r="J42" s="24" t="str">
        <x:v>T-037</x:v>
      </x:c>
      <x:c r="K42" s="26" t="n">
        <x:v>0</x:v>
      </x:c>
      <x:c r="L42" s="24" t="str">
        <x:v>LMS project</x:v>
      </x:c>
      <x:c r="M42" s="24" t="str">
        <x:v>Manual delivery may not scale.</x:v>
      </x:c>
      <x:c r="N42" s="24" t="str">
        <x:v>Select platform and architecture.</x:v>
      </x:c>
      <x:c r="O42" s="24" t="str">
        <x:v>Phase 6</x:v>
      </x:c>
      <x:c r="P42" s="24" t="str"/>
    </x:row>
    <x:row r="43">
      <x:c r="A43" t="str">
        <x:v>T-039</x:v>
      </x:c>
      <x:c r="B43" t="str">
        <x:v>Deployment</x:v>
      </x:c>
      <x:c r="C43" s="24" t="str">
        <x:v>Academy website and admissions</x:v>
      </x:c>
      <x:c r="D43" s="24" t="str">
        <x:v>Publish program information, admissions, schedules, fees, contact, and application process.</x:v>
      </x:c>
      <x:c r="E43" s="24" t="str">
        <x:v>High</x:v>
      </x:c>
      <x:c r="F43" s="24" t="str">
        <x:v>Not Started</x:v>
      </x:c>
      <x:c r="G43" s="25" t="n">
        <x:v>46310</x:v>
      </x:c>
      <x:c r="H43" s="25" t="n">
        <x:v>46356</x:v>
      </x:c>
      <x:c r="I43" s="24" t="str">
        <x:v>Marketing / Technology</x:v>
      </x:c>
      <x:c r="J43" s="24" t="str">
        <x:v>T-007,T-037</x:v>
      </x:c>
      <x:c r="K43" s="26" t="n">
        <x:v>0</x:v>
      </x:c>
      <x:c r="L43" s="24" t="str">
        <x:v>Academy website</x:v>
      </x:c>
      <x:c r="M43" s="24" t="str">
        <x:v>Students cannot discover or apply efficiently.</x:v>
      </x:c>
      <x:c r="N43" s="24" t="str">
        <x:v>Approve content and design.</x:v>
      </x:c>
      <x:c r="O43" s="24" t="str">
        <x:v>Phase 6</x:v>
      </x:c>
      <x:c r="P43" s="24" t="str"/>
    </x:row>
    <x:row r="44">
      <x:c r="A44" t="str">
        <x:v>T-040</x:v>
      </x:c>
      <x:c r="B44" t="str">
        <x:v>Deployment</x:v>
      </x:c>
      <x:c r="C44" s="24" t="str">
        <x:v>Career services and partnerships</x:v>
      </x:c>
      <x:c r="D44" s="24" t="str">
        <x:v>Develop CV support, portfolios, internships, employer links, and job-placement tracking.</x:v>
      </x:c>
      <x:c r="E44" s="24" t="str">
        <x:v>Medium</x:v>
      </x:c>
      <x:c r="F44" s="24" t="str">
        <x:v>Not Started</x:v>
      </x:c>
      <x:c r="G44" s="25" t="n">
        <x:v>46327</x:v>
      </x:c>
      <x:c r="H44" s="25" t="n">
        <x:v>46376</x:v>
      </x:c>
      <x:c r="I44" s="24" t="str">
        <x:v>Career Services</x:v>
      </x:c>
      <x:c r="J44" s="24" t="str">
        <x:v>T-037</x:v>
      </x:c>
      <x:c r="K44" s="26" t="n">
        <x:v>0</x:v>
      </x:c>
      <x:c r="L44" s="24" t="str">
        <x:v>Career Services Framework</x:v>
      </x:c>
      <x:c r="M44" s="24" t="str">
        <x:v>Program employment outcomes may remain weak.</x:v>
      </x:c>
      <x:c r="N44" s="24" t="str">
        <x:v>Create employer outreach plan.</x:v>
      </x:c>
      <x:c r="O44" s="24" t="str">
        <x:v>Phase 6</x:v>
      </x:c>
      <x:c r="P44" s="24" t="str"/>
    </x:row>
    <x:row r="45">
      <x:c r="C45" s="24"/>
      <x:c r="D45" s="24"/>
      <x:c r="E45" s="24"/>
      <x:c r="F45" s="24"/>
      <x:c r="G45" s="25"/>
      <x:c r="H45" s="25"/>
      <x:c r="I45" s="24"/>
      <x:c r="J45" s="24"/>
      <x:c r="K45" s="26"/>
      <x:c r="L45" s="24"/>
      <x:c r="M45" s="24"/>
      <x:c r="N45" s="24"/>
      <x:c r="O45" s="24"/>
      <x:c r="P45" s="24"/>
    </x:row>
    <x:row r="46">
      <x:c r="C46" s="24"/>
      <x:c r="D46" s="24"/>
      <x:c r="E46" s="24"/>
      <x:c r="F46" s="24"/>
      <x:c r="G46" s="25"/>
      <x:c r="H46" s="25"/>
      <x:c r="I46" s="24"/>
      <x:c r="J46" s="24"/>
      <x:c r="K46" s="26"/>
      <x:c r="L46" s="24"/>
      <x:c r="M46" s="24"/>
      <x:c r="N46" s="24"/>
      <x:c r="O46" s="24"/>
      <x:c r="P46" s="24"/>
    </x:row>
    <x:row r="47">
      <x:c r="C47" s="24"/>
      <x:c r="D47" s="24"/>
      <x:c r="E47" s="24"/>
      <x:c r="F47" s="24"/>
      <x:c r="G47" s="25"/>
      <x:c r="H47" s="25"/>
      <x:c r="I47" s="24"/>
      <x:c r="J47" s="24"/>
      <x:c r="K47" s="26"/>
      <x:c r="L47" s="24"/>
      <x:c r="M47" s="24"/>
      <x:c r="N47" s="24"/>
      <x:c r="O47" s="24"/>
      <x:c r="P47" s="24"/>
    </x:row>
    <x:row r="48">
      <x:c r="C48" s="24"/>
      <x:c r="D48" s="24"/>
      <x:c r="E48" s="24"/>
      <x:c r="F48" s="24"/>
      <x:c r="G48" s="25"/>
      <x:c r="H48" s="25"/>
      <x:c r="I48" s="24"/>
      <x:c r="J48" s="24"/>
      <x:c r="K48" s="26"/>
      <x:c r="L48" s="24"/>
      <x:c r="M48" s="24"/>
      <x:c r="N48" s="24"/>
      <x:c r="O48" s="24"/>
      <x:c r="P48" s="24"/>
    </x:row>
    <x:row r="49">
      <x:c r="C49" s="24"/>
      <x:c r="D49" s="24"/>
      <x:c r="E49" s="24"/>
      <x:c r="F49" s="24"/>
      <x:c r="G49" s="25"/>
      <x:c r="H49" s="25"/>
      <x:c r="I49" s="24"/>
      <x:c r="J49" s="24"/>
      <x:c r="K49" s="26"/>
      <x:c r="L49" s="24"/>
      <x:c r="M49" s="24"/>
      <x:c r="N49" s="24"/>
      <x:c r="O49" s="24"/>
      <x:c r="P49" s="24"/>
    </x:row>
    <x:row r="50">
      <x:c r="C50" s="24"/>
      <x:c r="D50" s="24"/>
      <x:c r="E50" s="24"/>
      <x:c r="F50" s="24"/>
      <x:c r="G50" s="25"/>
      <x:c r="H50" s="25"/>
      <x:c r="I50" s="24"/>
      <x:c r="J50" s="24"/>
      <x:c r="K50" s="26"/>
      <x:c r="L50" s="24"/>
      <x:c r="M50" s="24"/>
      <x:c r="N50" s="24"/>
      <x:c r="O50" s="24"/>
      <x:c r="P50" s="24"/>
    </x:row>
    <x:row r="51">
      <x:c r="C51" s="24"/>
      <x:c r="D51" s="24"/>
      <x:c r="E51" s="24"/>
      <x:c r="F51" s="24"/>
      <x:c r="G51" s="25"/>
      <x:c r="H51" s="25"/>
      <x:c r="I51" s="24"/>
      <x:c r="J51" s="24"/>
      <x:c r="K51" s="26"/>
      <x:c r="L51" s="24"/>
      <x:c r="M51" s="24"/>
      <x:c r="N51" s="24"/>
      <x:c r="O51" s="24"/>
      <x:c r="P51" s="24"/>
    </x:row>
    <x:row r="52">
      <x:c r="C52" s="24"/>
      <x:c r="D52" s="24"/>
      <x:c r="E52" s="24"/>
      <x:c r="F52" s="24"/>
      <x:c r="G52" s="25"/>
      <x:c r="H52" s="25"/>
      <x:c r="I52" s="24"/>
      <x:c r="J52" s="24"/>
      <x:c r="K52" s="26"/>
      <x:c r="L52" s="24"/>
      <x:c r="M52" s="24"/>
      <x:c r="N52" s="24"/>
      <x:c r="O52" s="24"/>
      <x:c r="P52" s="24"/>
    </x:row>
    <x:row r="53">
      <x:c r="C53" s="24"/>
      <x:c r="D53" s="24"/>
      <x:c r="E53" s="24"/>
      <x:c r="F53" s="24"/>
      <x:c r="G53" s="25"/>
      <x:c r="H53" s="25"/>
      <x:c r="I53" s="24"/>
      <x:c r="J53" s="24"/>
      <x:c r="K53" s="26"/>
      <x:c r="L53" s="24"/>
      <x:c r="M53" s="24"/>
      <x:c r="N53" s="24"/>
      <x:c r="O53" s="24"/>
      <x:c r="P53" s="24"/>
    </x:row>
    <x:row r="54">
      <x:c r="C54" s="24"/>
      <x:c r="D54" s="24"/>
      <x:c r="E54" s="24"/>
      <x:c r="F54" s="24"/>
      <x:c r="G54" s="25"/>
      <x:c r="H54" s="25"/>
      <x:c r="I54" s="24"/>
      <x:c r="J54" s="24"/>
      <x:c r="K54" s="26"/>
      <x:c r="L54" s="24"/>
      <x:c r="M54" s="24"/>
      <x:c r="N54" s="24"/>
      <x:c r="O54" s="24"/>
      <x:c r="P54" s="24"/>
    </x:row>
    <x:row r="55">
      <x:c r="C55" s="24"/>
      <x:c r="D55" s="24"/>
      <x:c r="E55" s="24"/>
      <x:c r="F55" s="24"/>
      <x:c r="G55" s="25"/>
      <x:c r="H55" s="25"/>
      <x:c r="I55" s="24"/>
      <x:c r="J55" s="24"/>
      <x:c r="K55" s="26"/>
      <x:c r="L55" s="24"/>
      <x:c r="M55" s="24"/>
      <x:c r="N55" s="24"/>
      <x:c r="O55" s="24"/>
      <x:c r="P55" s="24"/>
    </x:row>
    <x:row r="56">
      <x:c r="C56" s="24"/>
      <x:c r="D56" s="24"/>
      <x:c r="E56" s="24"/>
      <x:c r="F56" s="24"/>
      <x:c r="G56" s="25"/>
      <x:c r="H56" s="25"/>
      <x:c r="I56" s="24"/>
      <x:c r="J56" s="24"/>
      <x:c r="K56" s="26"/>
      <x:c r="L56" s="24"/>
      <x:c r="M56" s="24"/>
      <x:c r="N56" s="24"/>
      <x:c r="O56" s="24"/>
      <x:c r="P56" s="24"/>
    </x:row>
    <x:row r="57">
      <x:c r="C57" s="24"/>
      <x:c r="D57" s="24"/>
      <x:c r="E57" s="24"/>
      <x:c r="F57" s="24"/>
      <x:c r="G57" s="25"/>
      <x:c r="H57" s="25"/>
      <x:c r="I57" s="24"/>
      <x:c r="J57" s="24"/>
      <x:c r="K57" s="26"/>
      <x:c r="L57" s="24"/>
      <x:c r="M57" s="24"/>
      <x:c r="N57" s="24"/>
      <x:c r="O57" s="24"/>
      <x:c r="P57" s="24"/>
    </x:row>
    <x:row r="58">
      <x:c r="C58" s="24"/>
      <x:c r="D58" s="24"/>
      <x:c r="E58" s="24"/>
      <x:c r="F58" s="24"/>
      <x:c r="G58" s="25"/>
      <x:c r="H58" s="25"/>
      <x:c r="I58" s="24"/>
      <x:c r="J58" s="24"/>
      <x:c r="K58" s="26"/>
      <x:c r="L58" s="24"/>
      <x:c r="M58" s="24"/>
      <x:c r="N58" s="24"/>
      <x:c r="O58" s="24"/>
      <x:c r="P58" s="24"/>
    </x:row>
    <x:row r="59">
      <x:c r="C59" s="24"/>
      <x:c r="D59" s="24"/>
      <x:c r="E59" s="24"/>
      <x:c r="F59" s="24"/>
      <x:c r="G59" s="25"/>
      <x:c r="H59" s="25"/>
      <x:c r="I59" s="24"/>
      <x:c r="J59" s="24"/>
      <x:c r="K59" s="26"/>
      <x:c r="L59" s="24"/>
      <x:c r="M59" s="24"/>
      <x:c r="N59" s="24"/>
      <x:c r="O59" s="24"/>
      <x:c r="P59" s="24"/>
    </x:row>
    <x:row r="60">
      <x:c r="C60" s="24"/>
      <x:c r="D60" s="24"/>
      <x:c r="E60" s="24"/>
      <x:c r="F60" s="24"/>
      <x:c r="G60" s="25"/>
      <x:c r="H60" s="25"/>
      <x:c r="I60" s="24"/>
      <x:c r="J60" s="24"/>
      <x:c r="K60" s="26"/>
      <x:c r="L60" s="24"/>
      <x:c r="M60" s="24"/>
      <x:c r="N60" s="24"/>
      <x:c r="O60" s="24"/>
      <x:c r="P60" s="24"/>
    </x:row>
    <x:row r="61">
      <x:c r="C61" s="24"/>
      <x:c r="D61" s="24"/>
      <x:c r="E61" s="24"/>
      <x:c r="F61" s="24"/>
      <x:c r="G61" s="25"/>
      <x:c r="H61" s="25"/>
      <x:c r="I61" s="24"/>
      <x:c r="J61" s="24"/>
      <x:c r="K61" s="26"/>
      <x:c r="L61" s="24"/>
      <x:c r="M61" s="24"/>
      <x:c r="N61" s="24"/>
      <x:c r="O61" s="24"/>
      <x:c r="P61" s="24"/>
    </x:row>
    <x:row r="62">
      <x:c r="C62" s="24"/>
      <x:c r="D62" s="24"/>
      <x:c r="E62" s="24"/>
      <x:c r="F62" s="24"/>
      <x:c r="G62" s="25"/>
      <x:c r="H62" s="25"/>
      <x:c r="I62" s="24"/>
      <x:c r="J62" s="24"/>
      <x:c r="K62" s="26"/>
      <x:c r="L62" s="24"/>
      <x:c r="M62" s="24"/>
      <x:c r="N62" s="24"/>
      <x:c r="O62" s="24"/>
      <x:c r="P62" s="24"/>
    </x:row>
    <x:row r="63">
      <x:c r="C63" s="24"/>
      <x:c r="D63" s="24"/>
      <x:c r="E63" s="24"/>
      <x:c r="F63" s="24"/>
      <x:c r="G63" s="25"/>
      <x:c r="H63" s="25"/>
      <x:c r="I63" s="24"/>
      <x:c r="J63" s="24"/>
      <x:c r="K63" s="26"/>
      <x:c r="L63" s="24"/>
      <x:c r="M63" s="24"/>
      <x:c r="N63" s="24"/>
      <x:c r="O63" s="24"/>
      <x:c r="P63" s="24"/>
    </x:row>
    <x:row r="64">
      <x:c r="C64" s="24"/>
      <x:c r="D64" s="24"/>
      <x:c r="E64" s="24"/>
      <x:c r="F64" s="24"/>
      <x:c r="G64" s="25"/>
      <x:c r="H64" s="25"/>
      <x:c r="I64" s="24"/>
      <x:c r="J64" s="24"/>
      <x:c r="K64" s="26"/>
      <x:c r="L64" s="24"/>
      <x:c r="M64" s="24"/>
      <x:c r="N64" s="24"/>
      <x:c r="O64" s="24"/>
      <x:c r="P64" s="24"/>
    </x:row>
    <x:row r="65">
      <x:c r="C65" s="24"/>
      <x:c r="D65" s="24"/>
      <x:c r="E65" s="24"/>
      <x:c r="F65" s="24"/>
      <x:c r="G65" s="25"/>
      <x:c r="H65" s="25"/>
      <x:c r="I65" s="24"/>
      <x:c r="J65" s="24"/>
      <x:c r="K65" s="26"/>
      <x:c r="L65" s="24"/>
      <x:c r="M65" s="24"/>
      <x:c r="N65" s="24"/>
      <x:c r="O65" s="24"/>
      <x:c r="P65" s="24"/>
    </x:row>
    <x:row r="66">
      <x:c r="C66" s="24"/>
      <x:c r="D66" s="24"/>
      <x:c r="E66" s="24"/>
      <x:c r="F66" s="24"/>
      <x:c r="G66" s="25"/>
      <x:c r="H66" s="25"/>
      <x:c r="I66" s="24"/>
      <x:c r="J66" s="24"/>
      <x:c r="K66" s="26"/>
      <x:c r="L66" s="24"/>
      <x:c r="M66" s="24"/>
      <x:c r="N66" s="24"/>
      <x:c r="O66" s="24"/>
      <x:c r="P66" s="24"/>
    </x:row>
    <x:row r="67">
      <x:c r="C67" s="24"/>
      <x:c r="D67" s="24"/>
      <x:c r="E67" s="24"/>
      <x:c r="F67" s="24"/>
      <x:c r="G67" s="25"/>
      <x:c r="H67" s="25"/>
      <x:c r="I67" s="24"/>
      <x:c r="J67" s="24"/>
      <x:c r="K67" s="26"/>
      <x:c r="L67" s="24"/>
      <x:c r="M67" s="24"/>
      <x:c r="N67" s="24"/>
      <x:c r="O67" s="24"/>
      <x:c r="P67" s="24"/>
    </x:row>
    <x:row r="68">
      <x:c r="C68" s="24"/>
      <x:c r="D68" s="24"/>
      <x:c r="E68" s="24"/>
      <x:c r="F68" s="24"/>
      <x:c r="G68" s="25"/>
      <x:c r="H68" s="25"/>
      <x:c r="I68" s="24"/>
      <x:c r="J68" s="24"/>
      <x:c r="K68" s="26"/>
      <x:c r="L68" s="24"/>
      <x:c r="M68" s="24"/>
      <x:c r="N68" s="24"/>
      <x:c r="O68" s="24"/>
      <x:c r="P68" s="24"/>
    </x:row>
    <x:row r="69">
      <x:c r="C69" s="24"/>
      <x:c r="D69" s="24"/>
      <x:c r="E69" s="24"/>
      <x:c r="F69" s="24"/>
      <x:c r="G69" s="25"/>
      <x:c r="H69" s="25"/>
      <x:c r="I69" s="24"/>
      <x:c r="J69" s="24"/>
      <x:c r="K69" s="26"/>
      <x:c r="L69" s="24"/>
      <x:c r="M69" s="24"/>
      <x:c r="N69" s="24"/>
      <x:c r="O69" s="24"/>
      <x:c r="P69" s="24"/>
    </x:row>
    <x:row r="70">
      <x:c r="C70" s="24"/>
      <x:c r="D70" s="24"/>
      <x:c r="E70" s="24"/>
      <x:c r="F70" s="24"/>
      <x:c r="G70" s="25"/>
      <x:c r="H70" s="25"/>
      <x:c r="I70" s="24"/>
      <x:c r="J70" s="24"/>
      <x:c r="K70" s="26"/>
      <x:c r="L70" s="24"/>
      <x:c r="M70" s="24"/>
      <x:c r="N70" s="24"/>
      <x:c r="O70" s="24"/>
      <x:c r="P70" s="24"/>
    </x:row>
    <x:row r="71">
      <x:c r="C71" s="24"/>
      <x:c r="D71" s="24"/>
      <x:c r="E71" s="24"/>
      <x:c r="F71" s="24"/>
      <x:c r="G71" s="25"/>
      <x:c r="H71" s="25"/>
      <x:c r="I71" s="24"/>
      <x:c r="J71" s="24"/>
      <x:c r="K71" s="26"/>
      <x:c r="L71" s="24"/>
      <x:c r="M71" s="24"/>
      <x:c r="N71" s="24"/>
      <x:c r="O71" s="24"/>
      <x:c r="P71" s="24"/>
    </x:row>
    <x:row r="72">
      <x:c r="C72" s="24"/>
      <x:c r="D72" s="24"/>
      <x:c r="E72" s="24"/>
      <x:c r="F72" s="24"/>
      <x:c r="G72" s="25"/>
      <x:c r="H72" s="25"/>
      <x:c r="I72" s="24"/>
      <x:c r="J72" s="24"/>
      <x:c r="K72" s="26"/>
      <x:c r="L72" s="24"/>
      <x:c r="M72" s="24"/>
      <x:c r="N72" s="24"/>
      <x:c r="O72" s="24"/>
      <x:c r="P72" s="24"/>
    </x:row>
    <x:row r="73">
      <x:c r="C73" s="24"/>
      <x:c r="D73" s="24"/>
      <x:c r="E73" s="24"/>
      <x:c r="F73" s="24"/>
      <x:c r="G73" s="25"/>
      <x:c r="H73" s="25"/>
      <x:c r="I73" s="24"/>
      <x:c r="J73" s="24"/>
      <x:c r="K73" s="26"/>
      <x:c r="L73" s="24"/>
      <x:c r="M73" s="24"/>
      <x:c r="N73" s="24"/>
      <x:c r="O73" s="24"/>
      <x:c r="P73" s="24"/>
    </x:row>
    <x:row r="74">
      <x:c r="C74" s="24"/>
      <x:c r="D74" s="24"/>
      <x:c r="E74" s="24"/>
      <x:c r="F74" s="24"/>
      <x:c r="G74" s="25"/>
      <x:c r="H74" s="25"/>
      <x:c r="I74" s="24"/>
      <x:c r="J74" s="24"/>
      <x:c r="K74" s="26"/>
      <x:c r="L74" s="24"/>
      <x:c r="M74" s="24"/>
      <x:c r="N74" s="24"/>
      <x:c r="O74" s="24"/>
      <x:c r="P74" s="24"/>
    </x:row>
    <x:row r="75">
      <x:c r="C75" s="24"/>
      <x:c r="D75" s="24"/>
      <x:c r="E75" s="24"/>
      <x:c r="F75" s="24"/>
      <x:c r="G75" s="25"/>
      <x:c r="H75" s="25"/>
      <x:c r="I75" s="24"/>
      <x:c r="J75" s="24"/>
      <x:c r="K75" s="26"/>
      <x:c r="L75" s="24"/>
      <x:c r="M75" s="24"/>
      <x:c r="N75" s="24"/>
      <x:c r="O75" s="24"/>
      <x:c r="P75" s="24"/>
    </x:row>
    <x:row r="76">
      <x:c r="C76" s="24"/>
      <x:c r="D76" s="24"/>
      <x:c r="E76" s="24"/>
      <x:c r="F76" s="24"/>
      <x:c r="G76" s="25"/>
      <x:c r="H76" s="25"/>
      <x:c r="I76" s="24"/>
      <x:c r="J76" s="24"/>
      <x:c r="K76" s="26"/>
      <x:c r="L76" s="24"/>
      <x:c r="M76" s="24"/>
      <x:c r="N76" s="24"/>
      <x:c r="O76" s="24"/>
      <x:c r="P76" s="24"/>
    </x:row>
    <x:row r="77">
      <x:c r="C77" s="24"/>
      <x:c r="D77" s="24"/>
      <x:c r="E77" s="24"/>
      <x:c r="F77" s="24"/>
      <x:c r="G77" s="25"/>
      <x:c r="H77" s="25"/>
      <x:c r="I77" s="24"/>
      <x:c r="J77" s="24"/>
      <x:c r="K77" s="26"/>
      <x:c r="L77" s="24"/>
      <x:c r="M77" s="24"/>
      <x:c r="N77" s="24"/>
      <x:c r="O77" s="24"/>
      <x:c r="P77" s="24"/>
    </x:row>
    <x:row r="78">
      <x:c r="C78" s="24"/>
      <x:c r="D78" s="24"/>
      <x:c r="E78" s="24"/>
      <x:c r="F78" s="24"/>
      <x:c r="G78" s="25"/>
      <x:c r="H78" s="25"/>
      <x:c r="I78" s="24"/>
      <x:c r="J78" s="24"/>
      <x:c r="K78" s="26"/>
      <x:c r="L78" s="24"/>
      <x:c r="M78" s="24"/>
      <x:c r="N78" s="24"/>
      <x:c r="O78" s="24"/>
      <x:c r="P78" s="24"/>
    </x:row>
    <x:row r="79">
      <x:c r="C79" s="24"/>
      <x:c r="D79" s="24"/>
      <x:c r="E79" s="24"/>
      <x:c r="F79" s="24"/>
      <x:c r="G79" s="25"/>
      <x:c r="H79" s="25"/>
      <x:c r="I79" s="24"/>
      <x:c r="J79" s="24"/>
      <x:c r="K79" s="26"/>
      <x:c r="L79" s="24"/>
      <x:c r="M79" s="24"/>
      <x:c r="N79" s="24"/>
      <x:c r="O79" s="24"/>
      <x:c r="P79" s="24"/>
    </x:row>
    <x:row r="80">
      <x:c r="C80" s="24"/>
      <x:c r="D80" s="24"/>
      <x:c r="E80" s="24"/>
      <x:c r="F80" s="24"/>
      <x:c r="G80" s="25"/>
      <x:c r="H80" s="25"/>
      <x:c r="I80" s="24"/>
      <x:c r="J80" s="24"/>
      <x:c r="K80" s="26"/>
      <x:c r="L80" s="24"/>
      <x:c r="M80" s="24"/>
      <x:c r="N80" s="24"/>
      <x:c r="O80" s="24"/>
      <x:c r="P80" s="24"/>
    </x:row>
    <x:row r="81">
      <x:c r="C81" s="24"/>
      <x:c r="D81" s="24"/>
      <x:c r="E81" s="24"/>
      <x:c r="F81" s="24"/>
      <x:c r="G81" s="25"/>
      <x:c r="H81" s="25"/>
      <x:c r="I81" s="24"/>
      <x:c r="J81" s="24"/>
      <x:c r="K81" s="26"/>
      <x:c r="L81" s="24"/>
      <x:c r="M81" s="24"/>
      <x:c r="N81" s="24"/>
      <x:c r="O81" s="24"/>
      <x:c r="P81" s="24"/>
    </x:row>
    <x:row r="82">
      <x:c r="C82" s="24"/>
      <x:c r="D82" s="24"/>
      <x:c r="E82" s="24"/>
      <x:c r="F82" s="24"/>
      <x:c r="G82" s="25"/>
      <x:c r="H82" s="25"/>
      <x:c r="I82" s="24"/>
      <x:c r="J82" s="24"/>
      <x:c r="K82" s="26"/>
      <x:c r="L82" s="24"/>
      <x:c r="M82" s="24"/>
      <x:c r="N82" s="24"/>
      <x:c r="O82" s="24"/>
      <x:c r="P82" s="24"/>
    </x:row>
    <x:row r="83">
      <x:c r="C83" s="24"/>
      <x:c r="D83" s="24"/>
      <x:c r="E83" s="24"/>
      <x:c r="F83" s="24"/>
      <x:c r="G83" s="25"/>
      <x:c r="H83" s="25"/>
      <x:c r="I83" s="24"/>
      <x:c r="J83" s="24"/>
      <x:c r="K83" s="26"/>
      <x:c r="L83" s="24"/>
      <x:c r="M83" s="24"/>
      <x:c r="N83" s="24"/>
      <x:c r="O83" s="24"/>
      <x:c r="P83" s="24"/>
    </x:row>
    <x:row r="84">
      <x:c r="C84" s="24"/>
      <x:c r="D84" s="24"/>
      <x:c r="E84" s="24"/>
      <x:c r="F84" s="24"/>
      <x:c r="G84" s="25"/>
      <x:c r="H84" s="25"/>
      <x:c r="I84" s="24"/>
      <x:c r="J84" s="24"/>
      <x:c r="K84" s="26"/>
      <x:c r="L84" s="24"/>
      <x:c r="M84" s="24"/>
      <x:c r="N84" s="24"/>
      <x:c r="O84" s="24"/>
      <x:c r="P84" s="24"/>
    </x:row>
    <x:row r="85">
      <x:c r="C85" s="24"/>
      <x:c r="D85" s="24"/>
      <x:c r="E85" s="24"/>
      <x:c r="F85" s="24"/>
      <x:c r="G85" s="25"/>
      <x:c r="H85" s="25"/>
      <x:c r="I85" s="24"/>
      <x:c r="J85" s="24"/>
      <x:c r="K85" s="26"/>
      <x:c r="L85" s="24"/>
      <x:c r="M85" s="24"/>
      <x:c r="N85" s="24"/>
      <x:c r="O85" s="24"/>
      <x:c r="P85" s="24"/>
    </x:row>
    <x:row r="86">
      <x:c r="C86" s="24"/>
      <x:c r="D86" s="24"/>
      <x:c r="E86" s="24"/>
      <x:c r="F86" s="24"/>
      <x:c r="G86" s="25"/>
      <x:c r="H86" s="25"/>
      <x:c r="I86" s="24"/>
      <x:c r="J86" s="24"/>
      <x:c r="K86" s="26"/>
      <x:c r="L86" s="24"/>
      <x:c r="M86" s="24"/>
      <x:c r="N86" s="24"/>
      <x:c r="O86" s="24"/>
      <x:c r="P86" s="24"/>
    </x:row>
    <x:row r="87">
      <x:c r="C87" s="24"/>
      <x:c r="D87" s="24"/>
      <x:c r="E87" s="24"/>
      <x:c r="F87" s="24"/>
      <x:c r="G87" s="25"/>
      <x:c r="H87" s="25"/>
      <x:c r="I87" s="24"/>
      <x:c r="J87" s="24"/>
      <x:c r="K87" s="26"/>
      <x:c r="L87" s="24"/>
      <x:c r="M87" s="24"/>
      <x:c r="N87" s="24"/>
      <x:c r="O87" s="24"/>
      <x:c r="P87" s="24"/>
    </x:row>
    <x:row r="88">
      <x:c r="C88" s="24"/>
      <x:c r="D88" s="24"/>
      <x:c r="E88" s="24"/>
      <x:c r="F88" s="24"/>
      <x:c r="G88" s="25"/>
      <x:c r="H88" s="25"/>
      <x:c r="I88" s="24"/>
      <x:c r="J88" s="24"/>
      <x:c r="K88" s="26"/>
      <x:c r="L88" s="24"/>
      <x:c r="M88" s="24"/>
      <x:c r="N88" s="24"/>
      <x:c r="O88" s="24"/>
      <x:c r="P88" s="24"/>
    </x:row>
    <x:row r="89">
      <x:c r="C89" s="24"/>
      <x:c r="D89" s="24"/>
      <x:c r="E89" s="24"/>
      <x:c r="F89" s="24"/>
      <x:c r="G89" s="25"/>
      <x:c r="H89" s="25"/>
      <x:c r="I89" s="24"/>
      <x:c r="J89" s="24"/>
      <x:c r="K89" s="26"/>
      <x:c r="L89" s="24"/>
      <x:c r="M89" s="24"/>
      <x:c r="N89" s="24"/>
      <x:c r="O89" s="24"/>
      <x:c r="P89" s="24"/>
    </x:row>
    <x:row r="90">
      <x:c r="C90" s="24"/>
      <x:c r="D90" s="24"/>
      <x:c r="E90" s="24"/>
      <x:c r="F90" s="24"/>
      <x:c r="G90" s="25"/>
      <x:c r="H90" s="25"/>
      <x:c r="I90" s="24"/>
      <x:c r="J90" s="24"/>
      <x:c r="K90" s="26"/>
      <x:c r="L90" s="24"/>
      <x:c r="M90" s="24"/>
      <x:c r="N90" s="24"/>
      <x:c r="O90" s="24"/>
      <x:c r="P90" s="24"/>
    </x:row>
    <x:row r="91">
      <x:c r="C91" s="24"/>
      <x:c r="D91" s="24"/>
      <x:c r="E91" s="24"/>
      <x:c r="F91" s="24"/>
      <x:c r="G91" s="25"/>
      <x:c r="H91" s="25"/>
      <x:c r="I91" s="24"/>
      <x:c r="J91" s="24"/>
      <x:c r="K91" s="26"/>
      <x:c r="L91" s="24"/>
      <x:c r="M91" s="24"/>
      <x:c r="N91" s="24"/>
      <x:c r="O91" s="24"/>
      <x:c r="P91" s="24"/>
    </x:row>
    <x:row r="92">
      <x:c r="C92" s="24"/>
      <x:c r="D92" s="24"/>
      <x:c r="E92" s="24"/>
      <x:c r="F92" s="24"/>
      <x:c r="G92" s="25"/>
      <x:c r="H92" s="25"/>
      <x:c r="I92" s="24"/>
      <x:c r="J92" s="24"/>
      <x:c r="K92" s="26"/>
      <x:c r="L92" s="24"/>
      <x:c r="M92" s="24"/>
      <x:c r="N92" s="24"/>
      <x:c r="O92" s="24"/>
      <x:c r="P92" s="24"/>
    </x:row>
    <x:row r="93">
      <x:c r="C93" s="24"/>
      <x:c r="D93" s="24"/>
      <x:c r="E93" s="24"/>
      <x:c r="F93" s="24"/>
      <x:c r="G93" s="25"/>
      <x:c r="H93" s="25"/>
      <x:c r="I93" s="24"/>
      <x:c r="J93" s="24"/>
      <x:c r="K93" s="26"/>
      <x:c r="L93" s="24"/>
      <x:c r="M93" s="24"/>
      <x:c r="N93" s="24"/>
      <x:c r="O93" s="24"/>
      <x:c r="P93" s="24"/>
    </x:row>
    <x:row r="94">
      <x:c r="C94" s="24"/>
      <x:c r="D94" s="24"/>
      <x:c r="E94" s="24"/>
      <x:c r="F94" s="24"/>
      <x:c r="G94" s="25"/>
      <x:c r="H94" s="25"/>
      <x:c r="I94" s="24"/>
      <x:c r="J94" s="24"/>
      <x:c r="K94" s="26"/>
      <x:c r="L94" s="24"/>
      <x:c r="M94" s="24"/>
      <x:c r="N94" s="24"/>
      <x:c r="O94" s="24"/>
      <x:c r="P94" s="24"/>
    </x:row>
    <x:row r="95">
      <x:c r="C95" s="24"/>
      <x:c r="D95" s="24"/>
      <x:c r="E95" s="24"/>
      <x:c r="F95" s="24"/>
      <x:c r="G95" s="25"/>
      <x:c r="H95" s="25"/>
      <x:c r="I95" s="24"/>
      <x:c r="J95" s="24"/>
      <x:c r="K95" s="26"/>
      <x:c r="L95" s="24"/>
      <x:c r="M95" s="24"/>
      <x:c r="N95" s="24"/>
      <x:c r="O95" s="24"/>
      <x:c r="P95" s="24"/>
    </x:row>
    <x:row r="96">
      <x:c r="C96" s="24"/>
      <x:c r="D96" s="24"/>
      <x:c r="E96" s="24"/>
      <x:c r="F96" s="24"/>
      <x:c r="G96" s="25"/>
      <x:c r="H96" s="25"/>
      <x:c r="I96" s="24"/>
      <x:c r="J96" s="24"/>
      <x:c r="K96" s="26"/>
      <x:c r="L96" s="24"/>
      <x:c r="M96" s="24"/>
      <x:c r="N96" s="24"/>
      <x:c r="O96" s="24"/>
      <x:c r="P96" s="24"/>
    </x:row>
    <x:row r="97">
      <x:c r="C97" s="24"/>
      <x:c r="D97" s="24"/>
      <x:c r="E97" s="24"/>
      <x:c r="F97" s="24"/>
      <x:c r="G97" s="25"/>
      <x:c r="H97" s="25"/>
      <x:c r="I97" s="24"/>
      <x:c r="J97" s="24"/>
      <x:c r="K97" s="26"/>
      <x:c r="L97" s="24"/>
      <x:c r="M97" s="24"/>
      <x:c r="N97" s="24"/>
      <x:c r="O97" s="24"/>
      <x:c r="P97" s="24"/>
    </x:row>
    <x:row r="98">
      <x:c r="C98" s="24"/>
      <x:c r="D98" s="24"/>
      <x:c r="E98" s="24"/>
      <x:c r="F98" s="24"/>
      <x:c r="G98" s="25"/>
      <x:c r="H98" s="25"/>
      <x:c r="I98" s="24"/>
      <x:c r="J98" s="24"/>
      <x:c r="K98" s="26"/>
      <x:c r="L98" s="24"/>
      <x:c r="M98" s="24"/>
      <x:c r="N98" s="24"/>
      <x:c r="O98" s="24"/>
      <x:c r="P98" s="24"/>
    </x:row>
    <x:row r="99">
      <x:c r="C99" s="24"/>
      <x:c r="D99" s="24"/>
      <x:c r="E99" s="24"/>
      <x:c r="F99" s="24"/>
      <x:c r="G99" s="25"/>
      <x:c r="H99" s="25"/>
      <x:c r="I99" s="24"/>
      <x:c r="J99" s="24"/>
      <x:c r="K99" s="26"/>
      <x:c r="L99" s="24"/>
      <x:c r="M99" s="24"/>
      <x:c r="N99" s="24"/>
      <x:c r="O99" s="24"/>
      <x:c r="P99" s="24"/>
    </x:row>
    <x:row r="100">
      <x:c r="C100" s="24"/>
      <x:c r="D100" s="24"/>
      <x:c r="E100" s="24"/>
      <x:c r="F100" s="24"/>
      <x:c r="G100" s="25"/>
      <x:c r="H100" s="25"/>
      <x:c r="I100" s="24"/>
      <x:c r="J100" s="24"/>
      <x:c r="K100" s="26"/>
      <x:c r="L100" s="24"/>
      <x:c r="M100" s="24"/>
      <x:c r="N100" s="24"/>
      <x:c r="O100" s="24"/>
      <x:c r="P100" s="24"/>
    </x:row>
  </x:sheetData>
  <x:mergeCells>
    <x:mergeCell ref="A1:P2"/>
  </x:mergeCells>
  <x:conditionalFormatting sqref="F5:F100">
    <x:cfRule type="expression" dxfId="0" priority="1">
      <x:formula>F5="Completed"</x:formula>
    </x:cfRule>
    <x:cfRule type="expression" dxfId="1" priority="2">
      <x:formula>F5="In Progress"</x:formula>
    </x:cfRule>
    <x:cfRule type="expression" dxfId="2" priority="3">
      <x:formula>F5="Blocked"</x:formula>
    </x:cfRule>
    <x:cfRule type="expression" dxfId="3" priority="4">
      <x:formula>F5="Prepared"</x:formula>
    </x:cfRule>
  </x:conditionalFormatting>
  <x:dataValidations count="2">
    <x:dataValidation type="list" sqref="E5:E100">
      <x:formula1>"Low,Medium,High,Critical"</x:formula1>
    </x:dataValidation>
    <x:dataValidation type="list" sqref="F5:F100">
      <x:formula1>"Not Started,Prepared,In Progress,Blocked,Completed,Deferred"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57dedfc8784c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</x:cols>
  <x:sheetData>
    <x:row r="1" ht="30" customHeight="1">
      <x:c r="A1" s="5" t="str">
        <x:v>DABA &amp; ABC Retail Ltd Project Dashboard</x:v>
      </x:c>
    </x:row>
    <x:row r="4">
      <x:c r="A4" s="14" t="str">
        <x:v>Project KPI</x:v>
      </x:c>
      <x:c r="B4" s="14" t="str">
        <x:v>Value</x:v>
      </x:c>
      <x:c r="D4" s="14" t="str">
        <x:v>Status</x:v>
      </x:c>
      <x:c r="E4" s="14" t="str">
        <x:v>Count</x:v>
      </x:c>
    </x:row>
    <x:row r="5">
      <x:c r="A5" s="31" t="str">
        <x:v>Total Deliverables</x:v>
      </x:c>
      <x:c r="B5" s="34" t="n">
        <x:f>COUNTA('Master Roadmap'!A5:A100)</x:f>
        <x:v>40</x:v>
      </x:c>
      <x:c r="D5" t="str">
        <x:v>Completed</x:v>
      </x:c>
      <x:c r="E5" t="n">
        <x:f>COUNTIF('Master Roadmap'!F5:F100,D5)</x:f>
        <x:v>7</x:v>
      </x:c>
    </x:row>
    <x:row r="6">
      <x:c r="A6" s="31" t="str">
        <x:v>Completed</x:v>
      </x:c>
      <x:c r="B6" s="34" t="n">
        <x:f>COUNTIF('Master Roadmap'!F5:F100,"Completed")</x:f>
        <x:v>7</x:v>
      </x:c>
      <x:c r="D6" t="str">
        <x:v>In Progress</x:v>
      </x:c>
      <x:c r="E6" t="n">
        <x:f>COUNTIF('Master Roadmap'!F5:F100,D6)</x:f>
        <x:v>3</x:v>
      </x:c>
    </x:row>
    <x:row r="7">
      <x:c r="A7" s="31" t="str">
        <x:v>In Progress</x:v>
      </x:c>
      <x:c r="B7" s="34" t="n">
        <x:f>COUNTIF('Master Roadmap'!F5:F100,"In Progress")</x:f>
        <x:v>3</x:v>
      </x:c>
      <x:c r="D7" t="str">
        <x:v>Prepared</x:v>
      </x:c>
      <x:c r="E7" t="n">
        <x:f>COUNTIF('Master Roadmap'!F5:F100,D7)</x:f>
        <x:v>7</x:v>
      </x:c>
    </x:row>
    <x:row r="8">
      <x:c r="A8" s="31" t="str">
        <x:v>Prepared</x:v>
      </x:c>
      <x:c r="B8" s="34" t="n">
        <x:f>COUNTIF('Master Roadmap'!F5:F100,"Prepared")</x:f>
        <x:v>7</x:v>
      </x:c>
      <x:c r="D8" t="str">
        <x:v>Blocked</x:v>
      </x:c>
      <x:c r="E8" t="n">
        <x:f>COUNTIF('Master Roadmap'!F5:F100,D8)</x:f>
        <x:v>1</x:v>
      </x:c>
    </x:row>
    <x:row r="9">
      <x:c r="A9" s="31" t="str">
        <x:v>Blocked</x:v>
      </x:c>
      <x:c r="B9" s="34" t="n">
        <x:f>COUNTIF('Master Roadmap'!F5:F100,"Blocked")</x:f>
        <x:v>1</x:v>
      </x:c>
      <x:c r="D9" t="str">
        <x:v>Not Started</x:v>
      </x:c>
      <x:c r="E9" t="n">
        <x:f>COUNTIF('Master Roadmap'!F5:F100,D9)</x:f>
        <x:v>22</x:v>
      </x:c>
    </x:row>
    <x:row r="10">
      <x:c r="A10" s="31" t="str">
        <x:v>Not Started</x:v>
      </x:c>
      <x:c r="B10" s="34" t="n">
        <x:f>COUNTIF('Master Roadmap'!F5:F100,"Not Started")</x:f>
        <x:v>22</x:v>
      </x:c>
      <x:c r="D10" t="str">
        <x:v>Deferred</x:v>
      </x:c>
      <x:c r="E10" t="n">
        <x:f>COUNTIF('Master Roadmap'!F5:F100,D10)</x:f>
        <x:v>0</x:v>
      </x:c>
    </x:row>
    <x:row r="11">
      <x:c r="A11" s="31" t="str">
        <x:v>Average Completion</x:v>
      </x:c>
      <x:c r="B11" s="34" t="n">
        <x:f>AVERAGE('Master Roadmap'!K5:K44)</x:f>
        <x:v>0.34125</x:v>
      </x:c>
    </x:row>
    <x:row r="12">
      <x:c r="A12" s="31" t="str">
        <x:v>Critical Open</x:v>
      </x:c>
      <x:c r="B12" s="36" t="n">
        <x:f>COUNTIFS('Master Roadmap'!E5:E100,"Critical",'Master Roadmap'!F5:F100,"&lt;&gt;Completed")</x:f>
        <x:v>13</x:v>
      </x:c>
    </x:row>
    <x:row r="14">
      <x:c r="A14" s="14" t="str">
        <x:v>Workstream</x:v>
      </x:c>
      <x:c r="B14" s="14" t="str">
        <x:v>Tasks</x:v>
      </x:c>
      <x:c r="C14" s="14" t="str">
        <x:v>Average Completion</x:v>
      </x:c>
    </x:row>
    <x:row r="15">
      <x:c r="A15" t="str">
        <x:v>ABC Retail Database</x:v>
      </x:c>
      <x:c r="B15" t="n">
        <x:f>COUNTIF('Master Roadmap'!B5:B100,A15)</x:f>
        <x:v>7</x:v>
      </x:c>
      <x:c r="C15" s="22" t="n">
        <x:f>IFERROR(AVERAGEIF('Master Roadmap'!B5:B100,A15,'Master Roadmap'!K5:K100),0)</x:f>
        <x:v>0.2714285714285714</x:v>
      </x:c>
    </x:row>
    <x:row r="16">
      <x:c r="A16" t="str">
        <x:v>AI and Governance</x:v>
      </x:c>
      <x:c r="B16" t="n">
        <x:f>COUNTIF('Master Roadmap'!B5:B100,A16)</x:f>
        <x:v>2</x:v>
      </x:c>
      <x:c r="C16" s="22" t="n">
        <x:f>IFERROR(AVERAGEIF('Master Roadmap'!B5:B100,A16,'Master Roadmap'!K5:K100),0)</x:f>
        <x:v>0.75</x:v>
      </x:c>
    </x:row>
    <x:row r="17">
      <x:c r="A17" t="str">
        <x:v>Academic Program</x:v>
      </x:c>
      <x:c r="B17" t="n">
        <x:f>COUNTIF('Master Roadmap'!B5:B100,A17)</x:f>
        <x:v>5</x:v>
      </x:c>
      <x:c r="C17" s="22" t="n">
        <x:f>IFERROR(AVERAGEIF('Master Roadmap'!B5:B100,A17,'Master Roadmap'!K5:K100),0)</x:f>
        <x:v>0.26999999999999996</x:v>
      </x:c>
    </x:row>
    <x:row r="18">
      <x:c r="A18" t="str">
        <x:v>Capstone</x:v>
      </x:c>
      <x:c r="B18" t="n">
        <x:f>COUNTIF('Master Roadmap'!B5:B100,A18)</x:f>
        <x:v>2</x:v>
      </x:c>
      <x:c r="C18" s="22" t="n">
        <x:f>IFERROR(AVERAGEIF('Master Roadmap'!B5:B100,A18,'Master Roadmap'!K5:K100),0)</x:f>
        <x:v>0.5</x:v>
      </x:c>
    </x:row>
    <x:row r="19">
      <x:c r="A19" t="str">
        <x:v>Deployment</x:v>
      </x:c>
      <x:c r="B19" t="n">
        <x:f>COUNTIF('Master Roadmap'!B5:B100,A19)</x:f>
        <x:v>3</x:v>
      </x:c>
      <x:c r="C19" s="22" t="n">
        <x:f>IFERROR(AVERAGEIF('Master Roadmap'!B5:B100,A19,'Master Roadmap'!K5:K100),0)</x:f>
        <x:v>0</x:v>
      </x:c>
    </x:row>
    <x:row r="20">
      <x:c r="A20" t="str">
        <x:v>Excel Training</x:v>
      </x:c>
      <x:c r="B20" t="n">
        <x:f>COUNTIF('Master Roadmap'!B5:B100,A20)</x:f>
        <x:v>2</x:v>
      </x:c>
      <x:c r="C20" s="22" t="n">
        <x:f>IFERROR(AVERAGEIF('Master Roadmap'!B5:B100,A20,'Master Roadmap'!K5:K100),0)</x:f>
        <x:v>0.5</x:v>
      </x:c>
    </x:row>
    <x:row r="21">
      <x:c r="A21" t="str">
        <x:v>Power BI</x:v>
      </x:c>
      <x:c r="B21" t="n">
        <x:f>COUNTIF('Master Roadmap'!B5:B100,A21)</x:f>
        <x:v>4</x:v>
      </x:c>
      <x:c r="C21" s="22" t="n">
        <x:f>IFERROR(AVERAGEIF('Master Roadmap'!B5:B100,A21,'Master Roadmap'!K5:K100),0)</x:f>
        <x:v>0.35</x:v>
      </x:c>
    </x:row>
    <x:row r="22">
      <x:c r="A22" t="str">
        <x:v>Quality Assurance</x:v>
      </x:c>
      <x:c r="B22" t="n">
        <x:f>COUNTIF('Master Roadmap'!B5:B100,A22)</x:f>
        <x:v>3</x:v>
      </x:c>
      <x:c r="C22" s="22" t="n">
        <x:f>IFERROR(AVERAGEIF('Master Roadmap'!B5:B100,A22,'Master Roadmap'!K5:K100),0)</x:f>
        <x:v>0</x:v>
      </x:c>
    </x:row>
    <x:row r="23">
      <x:c r="A23" t="str">
        <x:v>Repository Governance</x:v>
      </x:c>
      <x:c r="B23" t="n">
        <x:f>COUNTIF('Master Roadmap'!B5:B100,A23)</x:f>
        <x:v>10</x:v>
      </x:c>
      <x:c r="C23" s="22" t="n">
        <x:f>IFERROR(AVERAGEIF('Master Roadmap'!B5:B100,A23,'Master Roadmap'!K5:K100),0)</x:f>
        <x:v>0.45</x:v>
      </x:c>
    </x:row>
    <x:row r="24">
      <x:c r="A24" t="str">
        <x:v>SQL Training</x:v>
      </x:c>
      <x:c r="B24" t="n">
        <x:f>COUNTIF('Master Roadmap'!B5:B100,A24)</x:f>
        <x:v>2</x:v>
      </x:c>
      <x:c r="C24" s="22" t="n">
        <x:f>IFERROR(AVERAGEIF('Master Roadmap'!B5:B100,A24,'Master Roadmap'!K5:K100),0)</x:f>
        <x:v>0.5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7b42abdfb6bf49b7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48" hidden="0" customWidth="1"/>
    <x:col min="9" max="9" width="14" hidden="0" customWidth="1"/>
    <x:col min="10" max="10" width="14" hidden="0" customWidth="1"/>
  </x:cols>
  <x:sheetData>
    <x:row r="1" ht="30" customHeight="1">
      <x:c r="A1" s="5" t="str">
        <x:v>DABA &amp; ABC Retail Ltd Project Risk Register</x:v>
      </x:c>
    </x:row>
    <x:row r="4">
      <x:c r="A4" s="14" t="str">
        <x:v>Risk ID</x:v>
      </x:c>
      <x:c r="B4" s="14" t="str">
        <x:v>Risk</x:v>
      </x:c>
      <x:c r="C4" s="14" t="str">
        <x:v>Category</x:v>
      </x:c>
      <x:c r="D4" s="14" t="str">
        <x:v>Likelihood</x:v>
      </x:c>
      <x:c r="E4" s="14" t="str">
        <x:v>Impact</x:v>
      </x:c>
      <x:c r="F4" s="14" t="str">
        <x:v>Rating</x:v>
      </x:c>
      <x:c r="G4" s="14" t="str">
        <x:v>Owner</x:v>
      </x:c>
      <x:c r="H4" s="14" t="str">
        <x:v>Treatment</x:v>
      </x:c>
      <x:c r="I4" s="14" t="str">
        <x:v>Status</x:v>
      </x:c>
      <x:c r="J4" s="14" t="str">
        <x:v>Review Date</x:v>
      </x:c>
    </x:row>
    <x:row r="5">
      <x:c r="A5" t="str">
        <x:v>R-001</x:v>
      </x:c>
      <x:c r="B5" s="24" t="str">
        <x:v>GitHub integration is read-only and cannot create branches or files.</x:v>
      </x:c>
      <x:c r="C5" s="24" t="str">
        <x:v>Technology</x:v>
      </x:c>
      <x:c r="D5" s="24" t="str">
        <x:v>High</x:v>
      </x:c>
      <x:c r="E5" s="24" t="str">
        <x:v>Medium</x:v>
      </x:c>
      <x:c r="F5" s="24" t="str">
        <x:v>High</x:v>
      </x:c>
      <x:c r="G5" s="24" t="str">
        <x:v>Repository Owner</x:v>
      </x:c>
      <x:c r="H5" s="24" t="str">
        <x:v>Grant contents and pull-request write permissions.</x:v>
      </x:c>
      <x:c r="I5" t="str">
        <x:v>Open</x:v>
      </x:c>
      <x:c r="J5" s="20" t="n">
        <x:v>46224</x:v>
      </x:c>
    </x:row>
    <x:row r="6">
      <x:c r="A6" t="str">
        <x:v>R-002</x:v>
      </x:c>
      <x:c r="B6" s="24" t="str">
        <x:v>Instructor answer keys and restricted assessments may be visible in the public repository.</x:v>
      </x:c>
      <x:c r="C6" s="24" t="str">
        <x:v>Academic Integrity</x:v>
      </x:c>
      <x:c r="D6" s="24" t="str">
        <x:v>High</x:v>
      </x:c>
      <x:c r="E6" s="24" t="str">
        <x:v>High</x:v>
      </x:c>
      <x:c r="F6" s="24" t="str">
        <x:v>Critical</x:v>
      </x:c>
      <x:c r="G6" s="24" t="str">
        <x:v>Academic Affairs / Security</x:v>
      </x:c>
      <x:c r="H6" s="24" t="str">
        <x:v>Classify content and move restricted files to a private repository.</x:v>
      </x:c>
      <x:c r="I6" t="str">
        <x:v>Open</x:v>
      </x:c>
      <x:c r="J6" s="20" t="n">
        <x:v>46225</x:v>
      </x:c>
    </x:row>
    <x:row r="7">
      <x:c r="A7" t="str">
        <x:v>R-003</x:v>
      </x:c>
      <x:c r="B7" s="24" t="str">
        <x:v>No approved reuse licence or terms of use.</x:v>
      </x:c>
      <x:c r="C7" s="24" t="str">
        <x:v>Legal / IP</x:v>
      </x:c>
      <x:c r="D7" s="24" t="str">
        <x:v>High</x:v>
      </x:c>
      <x:c r="E7" s="24" t="str">
        <x:v>High</x:v>
      </x:c>
      <x:c r="F7" s="24" t="str">
        <x:v>Critical</x:v>
      </x:c>
      <x:c r="G7" s="24" t="str">
        <x:v>Founder / Legal</x:v>
      </x:c>
      <x:c r="H7" s="24" t="str">
        <x:v>Approve public/private licensing model.</x:v>
      </x:c>
      <x:c r="I7" t="str">
        <x:v>Open</x:v>
      </x:c>
      <x:c r="J7" s="20" t="n">
        <x:v>46228</x:v>
      </x:c>
    </x:row>
    <x:row r="8">
      <x:c r="A8" t="str">
        <x:v>R-004</x:v>
      </x:c>
      <x:c r="B8" s="24" t="str">
        <x:v>Departmental casebook references tables not available in Phase 1.</x:v>
      </x:c>
      <x:c r="C8" s="24" t="str">
        <x:v>Data Architecture</x:v>
      </x:c>
      <x:c r="D8" s="24" t="str">
        <x:v>High</x:v>
      </x:c>
      <x:c r="E8" s="24" t="str">
        <x:v>High</x:v>
      </x:c>
      <x:c r="F8" s="24" t="str">
        <x:v>Critical</x:v>
      </x:c>
      <x:c r="G8" s="24" t="str">
        <x:v>Data Architect</x:v>
      </x:c>
      <x:c r="H8" s="24" t="str">
        <x:v>Deliver Phase 2 schema and seed data.</x:v>
      </x:c>
      <x:c r="I8" t="str">
        <x:v>Open</x:v>
      </x:c>
      <x:c r="J8" s="20" t="n">
        <x:v>46237</x:v>
      </x:c>
    </x:row>
    <x:row r="9">
      <x:c r="A9" t="str">
        <x:v>R-005</x:v>
      </x:c>
      <x:c r="B9" s="24" t="str">
        <x:v>Large binary files may cause rapid repository growth and poor change tracking.</x:v>
      </x:c>
      <x:c r="C9" s="24" t="str">
        <x:v>Repository</x:v>
      </x:c>
      <x:c r="D9" s="24" t="str">
        <x:v>Medium</x:v>
      </x:c>
      <x:c r="E9" s="24" t="str">
        <x:v>Medium</x:v>
      </x:c>
      <x:c r="F9" s="24" t="str">
        <x:v>Medium</x:v>
      </x:c>
      <x:c r="G9" s="24" t="str">
        <x:v>Technology</x:v>
      </x:c>
      <x:c r="H9" s="24" t="str">
        <x:v>Use Git LFS, releases, or controlled storage.</x:v>
      </x:c>
      <x:c r="I9" t="str">
        <x:v>Open</x:v>
      </x:c>
      <x:c r="J9" s="20" t="n">
        <x:v>46234</x:v>
      </x:c>
    </x:row>
    <x:row r="10">
      <x:c r="A10" t="str">
        <x:v>R-006</x:v>
      </x:c>
      <x:c r="B10" s="24" t="str">
        <x:v>Duplicate files may cause users to select obsolete versions.</x:v>
      </x:c>
      <x:c r="C10" s="24" t="str">
        <x:v>Document Control</x:v>
      </x:c>
      <x:c r="D10" s="24" t="str">
        <x:v>Medium</x:v>
      </x:c>
      <x:c r="E10" s="24" t="str">
        <x:v>Medium</x:v>
      </x:c>
      <x:c r="F10" s="24" t="str">
        <x:v>Medium</x:v>
      </x:c>
      <x:c r="G10" s="24" t="str">
        <x:v>Document Control</x:v>
      </x:c>
      <x:c r="H10" s="24" t="str">
        <x:v>Approve canonical files and archive superseded versions.</x:v>
      </x:c>
      <x:c r="I10" t="str">
        <x:v>Open</x:v>
      </x:c>
      <x:c r="J10" s="20" t="n">
        <x:v>46234</x:v>
      </x:c>
    </x:row>
    <x:row r="11">
      <x:c r="A11" t="str">
        <x:v>R-007</x:v>
      </x:c>
      <x:c r="B11" s="24" t="str">
        <x:v>The 24-week curriculum is not yet fully supported by weekly teaching packages.</x:v>
      </x:c>
      <x:c r="C11" s="24" t="str">
        <x:v>Academic Delivery</x:v>
      </x:c>
      <x:c r="D11" s="24" t="str">
        <x:v>High</x:v>
      </x:c>
      <x:c r="E11" s="24" t="str">
        <x:v>High</x:v>
      </x:c>
      <x:c r="F11" s="24" t="str">
        <x:v>Critical</x:v>
      </x:c>
      <x:c r="G11" s="24" t="str">
        <x:v>Academic Affairs</x:v>
      </x:c>
      <x:c r="H11" s="24" t="str">
        <x:v>Complete lesson plans, slides, labs, quizzes, and notes.</x:v>
      </x:c>
      <x:c r="I11" t="str">
        <x:v>Open</x:v>
      </x:c>
      <x:c r="J11" s="20" t="n">
        <x:v>46280</x:v>
      </x:c>
    </x:row>
    <x:row r="12">
      <x:c r="A12" t="str">
        <x:v>R-008</x:v>
      </x:c>
      <x:c r="B12" s="24" t="str">
        <x:v>KPI definitions may vary across Excel, SQL, and Power BI materials.</x:v>
      </x:c>
      <x:c r="C12" s="24" t="str">
        <x:v>Analytics Governance</x:v>
      </x:c>
      <x:c r="D12" s="24" t="str">
        <x:v>Medium</x:v>
      </x:c>
      <x:c r="E12" s="24" t="str">
        <x:v>High</x:v>
      </x:c>
      <x:c r="F12" s="24" t="str">
        <x:v>High</x:v>
      </x:c>
      <x:c r="G12" s="24" t="str">
        <x:v>BI Governance</x:v>
      </x:c>
      <x:c r="H12" s="24" t="str">
        <x:v>Maintain one controlled KPI and DAX dictionary.</x:v>
      </x:c>
      <x:c r="I12" t="str">
        <x:v>Open</x:v>
      </x:c>
      <x:c r="J12" s="20" t="n">
        <x:v>46280</x:v>
      </x:c>
    </x:row>
    <x:row r="13">
      <x:c r="A13" t="str">
        <x:v>R-009</x:v>
      </x:c>
      <x:c r="B13" s="24" t="str">
        <x:v>Program quality has not yet been confirmed through a pilot cohort.</x:v>
      </x:c>
      <x:c r="C13" s="24" t="str">
        <x:v>Quality</x:v>
      </x:c>
      <x:c r="D13" s="24" t="str">
        <x:v>High</x:v>
      </x:c>
      <x:c r="E13" s="24" t="str">
        <x:v>High</x:v>
      </x:c>
      <x:c r="F13" s="24" t="str">
        <x:v>Critical</x:v>
      </x:c>
      <x:c r="G13" s="24" t="str">
        <x:v>Academy Management</x:v>
      </x:c>
      <x:c r="H13" s="24" t="str">
        <x:v>Run controlled pilot and corrective-action cycle.</x:v>
      </x:c>
      <x:c r="I13" t="str">
        <x:v>Open</x:v>
      </x:c>
      <x:c r="J13" s="20" t="n">
        <x:v>46326</x:v>
      </x:c>
    </x:row>
    <x:row r="14">
      <x:c r="A14" t="str">
        <x:v>R-010</x:v>
      </x:c>
      <x:c r="B14" s="24" t="str">
        <x:v>Public publication may expose proprietary academy materials intended for paid delivery.</x:v>
      </x:c>
      <x:c r="C14" s="24" t="str">
        <x:v>Commercial</x:v>
      </x:c>
      <x:c r="D14" s="24" t="str">
        <x:v>High</x:v>
      </x:c>
      <x:c r="E14" s="24" t="str">
        <x:v>High</x:v>
      </x:c>
      <x:c r="F14" s="24" t="str">
        <x:v>Critical</x:v>
      </x:c>
      <x:c r="G14" s="24" t="str">
        <x:v>Founder</x:v>
      </x:c>
      <x:c r="H14" s="24" t="str">
        <x:v>Define public samples and private commercial content.</x:v>
      </x:c>
      <x:c r="I14" t="str">
        <x:v>Open</x:v>
      </x:c>
      <x:c r="J14" s="20" t="n">
        <x:v>46234</x:v>
      </x:c>
    </x:row>
    <x:row r="15">
      <x:c r="B15" s="24"/>
      <x:c r="C15" s="24"/>
      <x:c r="D15" s="24"/>
      <x:c r="E15" s="24"/>
      <x:c r="F15" s="24"/>
      <x:c r="G15" s="24"/>
      <x:c r="H15" s="24"/>
      <x:c r="J15" s="20"/>
    </x:row>
    <x:row r="16">
      <x:c r="B16" s="24"/>
      <x:c r="C16" s="24"/>
      <x:c r="D16" s="24"/>
      <x:c r="E16" s="24"/>
      <x:c r="F16" s="24"/>
      <x:c r="G16" s="24"/>
      <x:c r="H16" s="24"/>
      <x:c r="J16" s="20"/>
    </x:row>
    <x:row r="17">
      <x:c r="B17" s="24"/>
      <x:c r="C17" s="24"/>
      <x:c r="D17" s="24"/>
      <x:c r="E17" s="24"/>
      <x:c r="F17" s="24"/>
      <x:c r="G17" s="24"/>
      <x:c r="H17" s="24"/>
      <x:c r="J17" s="20"/>
    </x:row>
    <x:row r="18">
      <x:c r="B18" s="24"/>
      <x:c r="C18" s="24"/>
      <x:c r="D18" s="24"/>
      <x:c r="E18" s="24"/>
      <x:c r="F18" s="24"/>
      <x:c r="G18" s="24"/>
      <x:c r="H18" s="24"/>
      <x:c r="J18" s="20"/>
    </x:row>
    <x:row r="19">
      <x:c r="B19" s="24"/>
      <x:c r="C19" s="24"/>
      <x:c r="D19" s="24"/>
      <x:c r="E19" s="24"/>
      <x:c r="F19" s="24"/>
      <x:c r="G19" s="24"/>
      <x:c r="H19" s="24"/>
      <x:c r="J19" s="20"/>
    </x:row>
    <x:row r="20">
      <x:c r="B20" s="24"/>
      <x:c r="C20" s="24"/>
      <x:c r="D20" s="24"/>
      <x:c r="E20" s="24"/>
      <x:c r="F20" s="24"/>
      <x:c r="G20" s="24"/>
      <x:c r="H20" s="24"/>
      <x:c r="J20" s="20"/>
    </x:row>
    <x:row r="21">
      <x:c r="B21" s="24"/>
      <x:c r="C21" s="24"/>
      <x:c r="D21" s="24"/>
      <x:c r="E21" s="24"/>
      <x:c r="F21" s="24"/>
      <x:c r="G21" s="24"/>
      <x:c r="H21" s="24"/>
      <x:c r="J21" s="20"/>
    </x:row>
    <x:row r="22">
      <x:c r="B22" s="24"/>
      <x:c r="C22" s="24"/>
      <x:c r="D22" s="24"/>
      <x:c r="E22" s="24"/>
      <x:c r="F22" s="24"/>
      <x:c r="G22" s="24"/>
      <x:c r="H22" s="24"/>
      <x:c r="J22" s="20"/>
    </x:row>
    <x:row r="23">
      <x:c r="B23" s="24"/>
      <x:c r="C23" s="24"/>
      <x:c r="D23" s="24"/>
      <x:c r="E23" s="24"/>
      <x:c r="F23" s="24"/>
      <x:c r="G23" s="24"/>
      <x:c r="H23" s="24"/>
      <x:c r="J23" s="20"/>
    </x:row>
    <x:row r="24">
      <x:c r="B24" s="24"/>
      <x:c r="C24" s="24"/>
      <x:c r="D24" s="24"/>
      <x:c r="E24" s="24"/>
      <x:c r="F24" s="24"/>
      <x:c r="G24" s="24"/>
      <x:c r="H24" s="24"/>
      <x:c r="J24" s="20"/>
    </x:row>
    <x:row r="25">
      <x:c r="B25" s="24"/>
      <x:c r="C25" s="24"/>
      <x:c r="D25" s="24"/>
      <x:c r="E25" s="24"/>
      <x:c r="F25" s="24"/>
      <x:c r="G25" s="24"/>
      <x:c r="H25" s="24"/>
      <x:c r="J25" s="20"/>
    </x:row>
    <x:row r="26">
      <x:c r="B26" s="24"/>
      <x:c r="C26" s="24"/>
      <x:c r="D26" s="24"/>
      <x:c r="E26" s="24"/>
      <x:c r="F26" s="24"/>
      <x:c r="G26" s="24"/>
      <x:c r="H26" s="24"/>
      <x:c r="J26" s="20"/>
    </x:row>
    <x:row r="27">
      <x:c r="B27" s="24"/>
      <x:c r="C27" s="24"/>
      <x:c r="D27" s="24"/>
      <x:c r="E27" s="24"/>
      <x:c r="F27" s="24"/>
      <x:c r="G27" s="24"/>
      <x:c r="H27" s="24"/>
      <x:c r="J27" s="20"/>
    </x:row>
    <x:row r="28">
      <x:c r="B28" s="24"/>
      <x:c r="C28" s="24"/>
      <x:c r="D28" s="24"/>
      <x:c r="E28" s="24"/>
      <x:c r="F28" s="24"/>
      <x:c r="G28" s="24"/>
      <x:c r="H28" s="24"/>
      <x:c r="J28" s="20"/>
    </x:row>
    <x:row r="29">
      <x:c r="B29" s="24"/>
      <x:c r="C29" s="24"/>
      <x:c r="D29" s="24"/>
      <x:c r="E29" s="24"/>
      <x:c r="F29" s="24"/>
      <x:c r="G29" s="24"/>
      <x:c r="H29" s="24"/>
      <x:c r="J29" s="20"/>
    </x:row>
    <x:row r="30">
      <x:c r="B30" s="24"/>
      <x:c r="C30" s="24"/>
      <x:c r="D30" s="24"/>
      <x:c r="E30" s="24"/>
      <x:c r="F30" s="24"/>
      <x:c r="G30" s="24"/>
      <x:c r="H30" s="24"/>
      <x:c r="J30" s="20"/>
    </x:row>
    <x:row r="31">
      <x:c r="B31" s="24"/>
      <x:c r="C31" s="24"/>
      <x:c r="D31" s="24"/>
      <x:c r="E31" s="24"/>
      <x:c r="F31" s="24"/>
      <x:c r="G31" s="24"/>
      <x:c r="H31" s="24"/>
      <x:c r="J31" s="20"/>
    </x:row>
    <x:row r="32">
      <x:c r="B32" s="24"/>
      <x:c r="C32" s="24"/>
      <x:c r="D32" s="24"/>
      <x:c r="E32" s="24"/>
      <x:c r="F32" s="24"/>
      <x:c r="G32" s="24"/>
      <x:c r="H32" s="24"/>
      <x:c r="J32" s="20"/>
    </x:row>
    <x:row r="33">
      <x:c r="B33" s="24"/>
      <x:c r="C33" s="24"/>
      <x:c r="D33" s="24"/>
      <x:c r="E33" s="24"/>
      <x:c r="F33" s="24"/>
      <x:c r="G33" s="24"/>
      <x:c r="H33" s="24"/>
      <x:c r="J33" s="20"/>
    </x:row>
    <x:row r="34">
      <x:c r="B34" s="24"/>
      <x:c r="C34" s="24"/>
      <x:c r="D34" s="24"/>
      <x:c r="E34" s="24"/>
      <x:c r="F34" s="24"/>
      <x:c r="G34" s="24"/>
      <x:c r="H34" s="24"/>
      <x:c r="J34" s="20"/>
    </x:row>
    <x:row r="35">
      <x:c r="B35" s="24"/>
      <x:c r="C35" s="24"/>
      <x:c r="D35" s="24"/>
      <x:c r="E35" s="24"/>
      <x:c r="F35" s="24"/>
      <x:c r="G35" s="24"/>
      <x:c r="H35" s="24"/>
      <x:c r="J35" s="20"/>
    </x:row>
    <x:row r="36">
      <x:c r="B36" s="24"/>
      <x:c r="C36" s="24"/>
      <x:c r="D36" s="24"/>
      <x:c r="E36" s="24"/>
      <x:c r="F36" s="24"/>
      <x:c r="G36" s="24"/>
      <x:c r="H36" s="24"/>
      <x:c r="J36" s="20"/>
    </x:row>
    <x:row r="37">
      <x:c r="B37" s="24"/>
      <x:c r="C37" s="24"/>
      <x:c r="D37" s="24"/>
      <x:c r="E37" s="24"/>
      <x:c r="F37" s="24"/>
      <x:c r="G37" s="24"/>
      <x:c r="H37" s="24"/>
      <x:c r="J37" s="20"/>
    </x:row>
    <x:row r="38">
      <x:c r="B38" s="24"/>
      <x:c r="C38" s="24"/>
      <x:c r="D38" s="24"/>
      <x:c r="E38" s="24"/>
      <x:c r="F38" s="24"/>
      <x:c r="G38" s="24"/>
      <x:c r="H38" s="24"/>
      <x:c r="J38" s="20"/>
    </x:row>
    <x:row r="39">
      <x:c r="B39" s="24"/>
      <x:c r="C39" s="24"/>
      <x:c r="D39" s="24"/>
      <x:c r="E39" s="24"/>
      <x:c r="F39" s="24"/>
      <x:c r="G39" s="24"/>
      <x:c r="H39" s="24"/>
      <x:c r="J39" s="20"/>
    </x:row>
    <x:row r="40">
      <x:c r="B40" s="24"/>
      <x:c r="C40" s="24"/>
      <x:c r="D40" s="24"/>
      <x:c r="E40" s="24"/>
      <x:c r="F40" s="24"/>
      <x:c r="G40" s="24"/>
      <x:c r="H40" s="24"/>
      <x:c r="J40" s="20"/>
    </x:row>
    <x:row r="41">
      <x:c r="B41" s="24"/>
      <x:c r="C41" s="24"/>
      <x:c r="D41" s="24"/>
      <x:c r="E41" s="24"/>
      <x:c r="F41" s="24"/>
      <x:c r="G41" s="24"/>
      <x:c r="H41" s="24"/>
      <x:c r="J41" s="20"/>
    </x:row>
    <x:row r="42">
      <x:c r="B42" s="24"/>
      <x:c r="C42" s="24"/>
      <x:c r="D42" s="24"/>
      <x:c r="E42" s="24"/>
      <x:c r="F42" s="24"/>
      <x:c r="G42" s="24"/>
      <x:c r="H42" s="24"/>
      <x:c r="J42" s="20"/>
    </x:row>
    <x:row r="43">
      <x:c r="B43" s="24"/>
      <x:c r="C43" s="24"/>
      <x:c r="D43" s="24"/>
      <x:c r="E43" s="24"/>
      <x:c r="F43" s="24"/>
      <x:c r="G43" s="24"/>
      <x:c r="H43" s="24"/>
      <x:c r="J43" s="20"/>
    </x:row>
    <x:row r="44">
      <x:c r="B44" s="24"/>
      <x:c r="C44" s="24"/>
      <x:c r="D44" s="24"/>
      <x:c r="E44" s="24"/>
      <x:c r="F44" s="24"/>
      <x:c r="G44" s="24"/>
      <x:c r="H44" s="24"/>
      <x:c r="J44" s="20"/>
    </x:row>
    <x:row r="45">
      <x:c r="B45" s="24"/>
      <x:c r="C45" s="24"/>
      <x:c r="D45" s="24"/>
      <x:c r="E45" s="24"/>
      <x:c r="F45" s="24"/>
      <x:c r="G45" s="24"/>
      <x:c r="H45" s="24"/>
      <x:c r="J45" s="20"/>
    </x:row>
    <x:row r="46">
      <x:c r="B46" s="24"/>
      <x:c r="C46" s="24"/>
      <x:c r="D46" s="24"/>
      <x:c r="E46" s="24"/>
      <x:c r="F46" s="24"/>
      <x:c r="G46" s="24"/>
      <x:c r="H46" s="24"/>
      <x:c r="J46" s="20"/>
    </x:row>
    <x:row r="47">
      <x:c r="B47" s="24"/>
      <x:c r="C47" s="24"/>
      <x:c r="D47" s="24"/>
      <x:c r="E47" s="24"/>
      <x:c r="F47" s="24"/>
      <x:c r="G47" s="24"/>
      <x:c r="H47" s="24"/>
      <x:c r="J47" s="20"/>
    </x:row>
    <x:row r="48">
      <x:c r="B48" s="24"/>
      <x:c r="C48" s="24"/>
      <x:c r="D48" s="24"/>
      <x:c r="E48" s="24"/>
      <x:c r="F48" s="24"/>
      <x:c r="G48" s="24"/>
      <x:c r="H48" s="24"/>
      <x:c r="J48" s="20"/>
    </x:row>
    <x:row r="49">
      <x:c r="B49" s="24"/>
      <x:c r="C49" s="24"/>
      <x:c r="D49" s="24"/>
      <x:c r="E49" s="24"/>
      <x:c r="F49" s="24"/>
      <x:c r="G49" s="24"/>
      <x:c r="H49" s="24"/>
      <x:c r="J49" s="20"/>
    </x:row>
    <x:row r="50">
      <x:c r="B50" s="24"/>
      <x:c r="C50" s="24"/>
      <x:c r="D50" s="24"/>
      <x:c r="E50" s="24"/>
      <x:c r="F50" s="24"/>
      <x:c r="G50" s="24"/>
      <x:c r="H50" s="24"/>
      <x:c r="J50" s="20"/>
    </x:row>
    <x:row r="51">
      <x:c r="B51" s="24"/>
      <x:c r="C51" s="24"/>
      <x:c r="D51" s="24"/>
      <x:c r="E51" s="24"/>
      <x:c r="F51" s="24"/>
      <x:c r="G51" s="24"/>
      <x:c r="H51" s="24"/>
      <x:c r="J51" s="20"/>
    </x:row>
    <x:row r="52">
      <x:c r="B52" s="24"/>
      <x:c r="C52" s="24"/>
      <x:c r="D52" s="24"/>
      <x:c r="E52" s="24"/>
      <x:c r="F52" s="24"/>
      <x:c r="G52" s="24"/>
      <x:c r="H52" s="24"/>
      <x:c r="J52" s="20"/>
    </x:row>
    <x:row r="53">
      <x:c r="B53" s="24"/>
      <x:c r="C53" s="24"/>
      <x:c r="D53" s="24"/>
      <x:c r="E53" s="24"/>
      <x:c r="F53" s="24"/>
      <x:c r="G53" s="24"/>
      <x:c r="H53" s="24"/>
      <x:c r="J53" s="20"/>
    </x:row>
    <x:row r="54">
      <x:c r="B54" s="24"/>
      <x:c r="C54" s="24"/>
      <x:c r="D54" s="24"/>
      <x:c r="E54" s="24"/>
      <x:c r="F54" s="24"/>
      <x:c r="G54" s="24"/>
      <x:c r="H54" s="24"/>
      <x:c r="J54" s="20"/>
    </x:row>
    <x:row r="55">
      <x:c r="B55" s="24"/>
      <x:c r="C55" s="24"/>
      <x:c r="D55" s="24"/>
      <x:c r="E55" s="24"/>
      <x:c r="F55" s="24"/>
      <x:c r="G55" s="24"/>
      <x:c r="H55" s="24"/>
      <x:c r="J55" s="20"/>
    </x:row>
    <x:row r="56">
      <x:c r="B56" s="24"/>
      <x:c r="C56" s="24"/>
      <x:c r="D56" s="24"/>
      <x:c r="E56" s="24"/>
      <x:c r="F56" s="24"/>
      <x:c r="G56" s="24"/>
      <x:c r="H56" s="24"/>
      <x:c r="J56" s="20"/>
    </x:row>
    <x:row r="57">
      <x:c r="B57" s="24"/>
      <x:c r="C57" s="24"/>
      <x:c r="D57" s="24"/>
      <x:c r="E57" s="24"/>
      <x:c r="F57" s="24"/>
      <x:c r="G57" s="24"/>
      <x:c r="H57" s="24"/>
      <x:c r="J57" s="20"/>
    </x:row>
    <x:row r="58">
      <x:c r="B58" s="24"/>
      <x:c r="C58" s="24"/>
      <x:c r="D58" s="24"/>
      <x:c r="E58" s="24"/>
      <x:c r="F58" s="24"/>
      <x:c r="G58" s="24"/>
      <x:c r="H58" s="24"/>
      <x:c r="J58" s="20"/>
    </x:row>
    <x:row r="59">
      <x:c r="B59" s="24"/>
      <x:c r="C59" s="24"/>
      <x:c r="D59" s="24"/>
      <x:c r="E59" s="24"/>
      <x:c r="F59" s="24"/>
      <x:c r="G59" s="24"/>
      <x:c r="H59" s="24"/>
      <x:c r="J59" s="20"/>
    </x:row>
    <x:row r="60">
      <x:c r="B60" s="24"/>
      <x:c r="C60" s="24"/>
      <x:c r="D60" s="24"/>
      <x:c r="E60" s="24"/>
      <x:c r="F60" s="24"/>
      <x:c r="G60" s="24"/>
      <x:c r="H60" s="24"/>
      <x:c r="J60" s="20"/>
    </x:row>
    <x:row r="61">
      <x:c r="B61" s="24"/>
      <x:c r="C61" s="24"/>
      <x:c r="D61" s="24"/>
      <x:c r="E61" s="24"/>
      <x:c r="F61" s="24"/>
      <x:c r="G61" s="24"/>
      <x:c r="H61" s="24"/>
      <x:c r="J61" s="20"/>
    </x:row>
    <x:row r="62">
      <x:c r="B62" s="24"/>
      <x:c r="C62" s="24"/>
      <x:c r="D62" s="24"/>
      <x:c r="E62" s="24"/>
      <x:c r="F62" s="24"/>
      <x:c r="G62" s="24"/>
      <x:c r="H62" s="24"/>
      <x:c r="J62" s="20"/>
    </x:row>
    <x:row r="63">
      <x:c r="B63" s="24"/>
      <x:c r="C63" s="24"/>
      <x:c r="D63" s="24"/>
      <x:c r="E63" s="24"/>
      <x:c r="F63" s="24"/>
      <x:c r="G63" s="24"/>
      <x:c r="H63" s="24"/>
      <x:c r="J63" s="20"/>
    </x:row>
    <x:row r="64">
      <x:c r="B64" s="24"/>
      <x:c r="C64" s="24"/>
      <x:c r="D64" s="24"/>
      <x:c r="E64" s="24"/>
      <x:c r="F64" s="24"/>
      <x:c r="G64" s="24"/>
      <x:c r="H64" s="24"/>
      <x:c r="J64" s="20"/>
    </x:row>
    <x:row r="65">
      <x:c r="B65" s="24"/>
      <x:c r="C65" s="24"/>
      <x:c r="D65" s="24"/>
      <x:c r="E65" s="24"/>
      <x:c r="F65" s="24"/>
      <x:c r="G65" s="24"/>
      <x:c r="H65" s="24"/>
      <x:c r="J65" s="20"/>
    </x:row>
    <x:row r="66">
      <x:c r="B66" s="24"/>
      <x:c r="C66" s="24"/>
      <x:c r="D66" s="24"/>
      <x:c r="E66" s="24"/>
      <x:c r="F66" s="24"/>
      <x:c r="G66" s="24"/>
      <x:c r="H66" s="24"/>
      <x:c r="J66" s="20"/>
    </x:row>
    <x:row r="67">
      <x:c r="B67" s="24"/>
      <x:c r="C67" s="24"/>
      <x:c r="D67" s="24"/>
      <x:c r="E67" s="24"/>
      <x:c r="F67" s="24"/>
      <x:c r="G67" s="24"/>
      <x:c r="H67" s="24"/>
      <x:c r="J67" s="20"/>
    </x:row>
    <x:row r="68">
      <x:c r="B68" s="24"/>
      <x:c r="C68" s="24"/>
      <x:c r="D68" s="24"/>
      <x:c r="E68" s="24"/>
      <x:c r="F68" s="24"/>
      <x:c r="G68" s="24"/>
      <x:c r="H68" s="24"/>
      <x:c r="J68" s="20"/>
    </x:row>
    <x:row r="69">
      <x:c r="B69" s="24"/>
      <x:c r="C69" s="24"/>
      <x:c r="D69" s="24"/>
      <x:c r="E69" s="24"/>
      <x:c r="F69" s="24"/>
      <x:c r="G69" s="24"/>
      <x:c r="H69" s="24"/>
      <x:c r="J69" s="20"/>
    </x:row>
    <x:row r="70">
      <x:c r="B70" s="24"/>
      <x:c r="C70" s="24"/>
      <x:c r="D70" s="24"/>
      <x:c r="E70" s="24"/>
      <x:c r="F70" s="24"/>
      <x:c r="G70" s="24"/>
      <x:c r="H70" s="24"/>
      <x:c r="J70" s="20"/>
    </x:row>
    <x:row r="71">
      <x:c r="B71" s="24"/>
      <x:c r="C71" s="24"/>
      <x:c r="D71" s="24"/>
      <x:c r="E71" s="24"/>
      <x:c r="F71" s="24"/>
      <x:c r="G71" s="24"/>
      <x:c r="H71" s="24"/>
      <x:c r="J71" s="20"/>
    </x:row>
    <x:row r="72">
      <x:c r="B72" s="24"/>
      <x:c r="C72" s="24"/>
      <x:c r="D72" s="24"/>
      <x:c r="E72" s="24"/>
      <x:c r="F72" s="24"/>
      <x:c r="G72" s="24"/>
      <x:c r="H72" s="24"/>
      <x:c r="J72" s="20"/>
    </x:row>
    <x:row r="73">
      <x:c r="B73" s="24"/>
      <x:c r="C73" s="24"/>
      <x:c r="D73" s="24"/>
      <x:c r="E73" s="24"/>
      <x:c r="F73" s="24"/>
      <x:c r="G73" s="24"/>
      <x:c r="H73" s="24"/>
      <x:c r="J73" s="20"/>
    </x:row>
    <x:row r="74">
      <x:c r="B74" s="24"/>
      <x:c r="C74" s="24"/>
      <x:c r="D74" s="24"/>
      <x:c r="E74" s="24"/>
      <x:c r="F74" s="24"/>
      <x:c r="G74" s="24"/>
      <x:c r="H74" s="24"/>
      <x:c r="J74" s="20"/>
    </x:row>
    <x:row r="75">
      <x:c r="B75" s="24"/>
      <x:c r="C75" s="24"/>
      <x:c r="D75" s="24"/>
      <x:c r="E75" s="24"/>
      <x:c r="F75" s="24"/>
      <x:c r="G75" s="24"/>
      <x:c r="H75" s="24"/>
      <x:c r="J75" s="20"/>
    </x:row>
    <x:row r="76">
      <x:c r="B76" s="24"/>
      <x:c r="C76" s="24"/>
      <x:c r="D76" s="24"/>
      <x:c r="E76" s="24"/>
      <x:c r="F76" s="24"/>
      <x:c r="G76" s="24"/>
      <x:c r="H76" s="24"/>
      <x:c r="J76" s="20"/>
    </x:row>
    <x:row r="77">
      <x:c r="B77" s="24"/>
      <x:c r="C77" s="24"/>
      <x:c r="D77" s="24"/>
      <x:c r="E77" s="24"/>
      <x:c r="F77" s="24"/>
      <x:c r="G77" s="24"/>
      <x:c r="H77" s="24"/>
      <x:c r="J77" s="20"/>
    </x:row>
    <x:row r="78">
      <x:c r="B78" s="24"/>
      <x:c r="C78" s="24"/>
      <x:c r="D78" s="24"/>
      <x:c r="E78" s="24"/>
      <x:c r="F78" s="24"/>
      <x:c r="G78" s="24"/>
      <x:c r="H78" s="24"/>
      <x:c r="J78" s="20"/>
    </x:row>
    <x:row r="79">
      <x:c r="B79" s="24"/>
      <x:c r="C79" s="24"/>
      <x:c r="D79" s="24"/>
      <x:c r="E79" s="24"/>
      <x:c r="F79" s="24"/>
      <x:c r="G79" s="24"/>
      <x:c r="H79" s="24"/>
      <x:c r="J79" s="20"/>
    </x:row>
    <x:row r="80">
      <x:c r="B80" s="24"/>
      <x:c r="C80" s="24"/>
      <x:c r="D80" s="24"/>
      <x:c r="E80" s="24"/>
      <x:c r="F80" s="24"/>
      <x:c r="G80" s="24"/>
      <x:c r="H80" s="24"/>
      <x:c r="J80" s="20"/>
    </x:row>
    <x:row r="81">
      <x:c r="B81" s="24"/>
      <x:c r="C81" s="24"/>
      <x:c r="D81" s="24"/>
      <x:c r="E81" s="24"/>
      <x:c r="F81" s="24"/>
      <x:c r="G81" s="24"/>
      <x:c r="H81" s="24"/>
      <x:c r="J81" s="20"/>
    </x:row>
    <x:row r="82">
      <x:c r="B82" s="24"/>
      <x:c r="C82" s="24"/>
      <x:c r="D82" s="24"/>
      <x:c r="E82" s="24"/>
      <x:c r="F82" s="24"/>
      <x:c r="G82" s="24"/>
      <x:c r="H82" s="24"/>
      <x:c r="J82" s="20"/>
    </x:row>
    <x:row r="83">
      <x:c r="B83" s="24"/>
      <x:c r="C83" s="24"/>
      <x:c r="D83" s="24"/>
      <x:c r="E83" s="24"/>
      <x:c r="F83" s="24"/>
      <x:c r="G83" s="24"/>
      <x:c r="H83" s="24"/>
      <x:c r="J83" s="20"/>
    </x:row>
    <x:row r="84">
      <x:c r="B84" s="24"/>
      <x:c r="C84" s="24"/>
      <x:c r="D84" s="24"/>
      <x:c r="E84" s="24"/>
      <x:c r="F84" s="24"/>
      <x:c r="G84" s="24"/>
      <x:c r="H84" s="24"/>
      <x:c r="J84" s="20"/>
    </x:row>
    <x:row r="85">
      <x:c r="B85" s="24"/>
      <x:c r="C85" s="24"/>
      <x:c r="D85" s="24"/>
      <x:c r="E85" s="24"/>
      <x:c r="F85" s="24"/>
      <x:c r="G85" s="24"/>
      <x:c r="H85" s="24"/>
      <x:c r="J85" s="20"/>
    </x:row>
    <x:row r="86">
      <x:c r="B86" s="24"/>
      <x:c r="C86" s="24"/>
      <x:c r="D86" s="24"/>
      <x:c r="E86" s="24"/>
      <x:c r="F86" s="24"/>
      <x:c r="G86" s="24"/>
      <x:c r="H86" s="24"/>
      <x:c r="J86" s="20"/>
    </x:row>
    <x:row r="87">
      <x:c r="B87" s="24"/>
      <x:c r="C87" s="24"/>
      <x:c r="D87" s="24"/>
      <x:c r="E87" s="24"/>
      <x:c r="F87" s="24"/>
      <x:c r="G87" s="24"/>
      <x:c r="H87" s="24"/>
      <x:c r="J87" s="20"/>
    </x:row>
    <x:row r="88">
      <x:c r="B88" s="24"/>
      <x:c r="C88" s="24"/>
      <x:c r="D88" s="24"/>
      <x:c r="E88" s="24"/>
      <x:c r="F88" s="24"/>
      <x:c r="G88" s="24"/>
      <x:c r="H88" s="24"/>
      <x:c r="J88" s="20"/>
    </x:row>
    <x:row r="89">
      <x:c r="B89" s="24"/>
      <x:c r="C89" s="24"/>
      <x:c r="D89" s="24"/>
      <x:c r="E89" s="24"/>
      <x:c r="F89" s="24"/>
      <x:c r="G89" s="24"/>
      <x:c r="H89" s="24"/>
      <x:c r="J89" s="20"/>
    </x:row>
    <x:row r="90">
      <x:c r="B90" s="24"/>
      <x:c r="C90" s="24"/>
      <x:c r="D90" s="24"/>
      <x:c r="E90" s="24"/>
      <x:c r="F90" s="24"/>
      <x:c r="G90" s="24"/>
      <x:c r="H90" s="24"/>
      <x:c r="J90" s="20"/>
    </x:row>
    <x:row r="91">
      <x:c r="B91" s="24"/>
      <x:c r="C91" s="24"/>
      <x:c r="D91" s="24"/>
      <x:c r="E91" s="24"/>
      <x:c r="F91" s="24"/>
      <x:c r="G91" s="24"/>
      <x:c r="H91" s="24"/>
      <x:c r="J91" s="20"/>
    </x:row>
    <x:row r="92">
      <x:c r="B92" s="24"/>
      <x:c r="C92" s="24"/>
      <x:c r="D92" s="24"/>
      <x:c r="E92" s="24"/>
      <x:c r="F92" s="24"/>
      <x:c r="G92" s="24"/>
      <x:c r="H92" s="24"/>
      <x:c r="J92" s="20"/>
    </x:row>
    <x:row r="93">
      <x:c r="B93" s="24"/>
      <x:c r="C93" s="24"/>
      <x:c r="D93" s="24"/>
      <x:c r="E93" s="24"/>
      <x:c r="F93" s="24"/>
      <x:c r="G93" s="24"/>
      <x:c r="H93" s="24"/>
      <x:c r="J93" s="20"/>
    </x:row>
    <x:row r="94">
      <x:c r="B94" s="24"/>
      <x:c r="C94" s="24"/>
      <x:c r="D94" s="24"/>
      <x:c r="E94" s="24"/>
      <x:c r="F94" s="24"/>
      <x:c r="G94" s="24"/>
      <x:c r="H94" s="24"/>
      <x:c r="J94" s="20"/>
    </x:row>
    <x:row r="95">
      <x:c r="B95" s="24"/>
      <x:c r="C95" s="24"/>
      <x:c r="D95" s="24"/>
      <x:c r="E95" s="24"/>
      <x:c r="F95" s="24"/>
      <x:c r="G95" s="24"/>
      <x:c r="H95" s="24"/>
      <x:c r="J95" s="20"/>
    </x:row>
    <x:row r="96">
      <x:c r="B96" s="24"/>
      <x:c r="C96" s="24"/>
      <x:c r="D96" s="24"/>
      <x:c r="E96" s="24"/>
      <x:c r="F96" s="24"/>
      <x:c r="G96" s="24"/>
      <x:c r="H96" s="24"/>
      <x:c r="J96" s="20"/>
    </x:row>
    <x:row r="97">
      <x:c r="B97" s="24"/>
      <x:c r="C97" s="24"/>
      <x:c r="D97" s="24"/>
      <x:c r="E97" s="24"/>
      <x:c r="F97" s="24"/>
      <x:c r="G97" s="24"/>
      <x:c r="H97" s="24"/>
      <x:c r="J97" s="20"/>
    </x:row>
    <x:row r="98">
      <x:c r="B98" s="24"/>
      <x:c r="C98" s="24"/>
      <x:c r="D98" s="24"/>
      <x:c r="E98" s="24"/>
      <x:c r="F98" s="24"/>
      <x:c r="G98" s="24"/>
      <x:c r="H98" s="24"/>
      <x:c r="J98" s="20"/>
    </x:row>
    <x:row r="99">
      <x:c r="B99" s="24"/>
      <x:c r="C99" s="24"/>
      <x:c r="D99" s="24"/>
      <x:c r="E99" s="24"/>
      <x:c r="F99" s="24"/>
      <x:c r="G99" s="24"/>
      <x:c r="H99" s="24"/>
      <x:c r="J99" s="20"/>
    </x:row>
    <x:row r="100">
      <x:c r="B100" s="24"/>
      <x:c r="C100" s="24"/>
      <x:c r="D100" s="24"/>
      <x:c r="E100" s="24"/>
      <x:c r="F100" s="24"/>
      <x:c r="G100" s="24"/>
      <x:c r="H100" s="24"/>
      <x:c r="J100" s="20"/>
    </x:row>
  </x:sheetData>
  <x:mergeCells>
    <x:mergeCell ref="A1:J2"/>
  </x:mergeCells>
  <x:conditionalFormatting sqref="F5:F100">
    <x:cfRule type="expression" dxfId="4" priority="1">
      <x:formula>F5="Critical"</x:formula>
    </x:cfRule>
    <x:cfRule type="expression" dxfId="5" priority="2">
      <x:formula>F5="High"</x:formula>
    </x:cfRule>
  </x:conditionalFormatting>
  <x:dataValidations count="3">
    <x:dataValidation type="list" sqref="D5:E100">
      <x:formula1>"Low,Medium,High"</x:formula1>
    </x:dataValidation>
    <x:dataValidation type="list" sqref="F5:F100">
      <x:formula1>"Low,Medium,High,Critical"</x:formula1>
    </x:dataValidation>
    <x:dataValidation type="list" sqref="I5:I100">
      <x:formula1>"Open,Treating,Accepted,Closed"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a077a015342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2" hidden="0" customWidth="1"/>
    <x:col min="4" max="4" width="42" hidden="0" customWidth="1"/>
    <x:col min="5" max="5" width="24" hidden="0" customWidth="1"/>
    <x:col min="6" max="6" width="14" hidden="0" customWidth="1"/>
    <x:col min="7" max="7" width="14" hidden="0" customWidth="1"/>
    <x:col min="8" max="8" width="28" hidden="0" customWidth="1"/>
    <x:col min="9" max="9" width="42" hidden="0" customWidth="1"/>
    <x:col min="10" max="10" width="34" hidden="0" customWidth="1"/>
  </x:cols>
  <x:sheetData>
    <x:row r="1" ht="30" customHeight="1">
      <x:c r="A1" s="5" t="str">
        <x:v>Management Decision Register</x:v>
      </x:c>
    </x:row>
    <x:row r="4">
      <x:c r="A4" s="14" t="str">
        <x:v>Decision ID</x:v>
      </x:c>
      <x:c r="B4" s="14" t="str">
        <x:v>Decision Required</x:v>
      </x:c>
      <x:c r="C4" s="14" t="str">
        <x:v>Options</x:v>
      </x:c>
      <x:c r="D4" s="14" t="str">
        <x:v>Recommendation</x:v>
      </x:c>
      <x:c r="E4" s="14" t="str">
        <x:v>Decision Owner</x:v>
      </x:c>
      <x:c r="F4" s="14" t="str">
        <x:v>Due Date</x:v>
      </x:c>
      <x:c r="G4" s="14" t="str">
        <x:v>Status</x:v>
      </x:c>
      <x:c r="H4" s="14" t="str">
        <x:v>Decision</x:v>
      </x:c>
      <x:c r="I4" s="14" t="str">
        <x:v>Rationale</x:v>
      </x:c>
      <x:c r="J4" s="14" t="str">
        <x:v>Evidence</x:v>
      </x:c>
    </x:row>
    <x:row r="5">
      <x:c r="A5" t="str">
        <x:v>D-001</x:v>
      </x:c>
      <x:c r="B5" s="24" t="str">
        <x:v>Repository visibility</x:v>
      </x:c>
      <x:c r="C5" s="24" t="str">
        <x:v>Public; Private; Split public/private</x:v>
      </x:c>
      <x:c r="D5" s="24" t="str">
        <x:v>Split model</x:v>
      </x:c>
      <x:c r="E5" s="24" t="str">
        <x:v>Founder</x:v>
      </x:c>
      <x:c r="F5" s="25" t="n">
        <x:v>46228</x:v>
      </x:c>
      <x:c r="G5" s="24" t="str">
        <x:v>Pending</x:v>
      </x:c>
      <x:c r="H5" s="24" t="str"/>
      <x:c r="I5" s="24" t="str"/>
      <x:c r="J5" s="24" t="str">
        <x:v>LICENSE_DECISION_GUIDE.md</x:v>
      </x:c>
    </x:row>
    <x:row r="6">
      <x:c r="A6" t="str">
        <x:v>D-002</x:v>
      </x:c>
      <x:c r="B6" s="24" t="str">
        <x:v>Licence model</x:v>
      </x:c>
      <x:c r="C6" s="24" t="str">
        <x:v>All rights reserved; CC BY-NC-ND; CC BY-NC-SA; Split</x:v>
      </x:c>
      <x:c r="D6" s="24" t="str">
        <x:v>Split model</x:v>
      </x:c>
      <x:c r="E6" s="24" t="str">
        <x:v>Founder / Legal</x:v>
      </x:c>
      <x:c r="F6" s="25" t="n">
        <x:v>46228</x:v>
      </x:c>
      <x:c r="G6" s="24" t="str">
        <x:v>Pending</x:v>
      </x:c>
      <x:c r="H6" s="24" t="str"/>
      <x:c r="I6" s="24" t="str"/>
      <x:c r="J6" s="24" t="str">
        <x:v>LICENSE_DECISION_GUIDE.md</x:v>
      </x:c>
    </x:row>
    <x:row r="7">
      <x:c r="A7" t="str">
        <x:v>D-003</x:v>
      </x:c>
      <x:c r="B7" s="24" t="str">
        <x:v>GitHub write access</x:v>
      </x:c>
      <x:c r="C7" s="24" t="str">
        <x:v>Read-only; Read/write</x:v>
      </x:c>
      <x:c r="D7" s="24" t="str">
        <x:v>Read/write with protected main branch</x:v>
      </x:c>
      <x:c r="E7" s="24" t="str">
        <x:v>Repository Owner</x:v>
      </x:c>
      <x:c r="F7" s="25" t="n">
        <x:v>46224</x:v>
      </x:c>
      <x:c r="G7" s="24" t="str">
        <x:v>Pending</x:v>
      </x:c>
      <x:c r="H7" s="24" t="str"/>
      <x:c r="I7" s="24" t="str"/>
      <x:c r="J7" s="24" t="str">
        <x:v>GITHUB_WRITE_ACCESS_FIX.md</x:v>
      </x:c>
    </x:row>
    <x:row r="8">
      <x:c r="A8" t="str">
        <x:v>D-004</x:v>
      </x:c>
      <x:c r="B8" s="24" t="str">
        <x:v>Binary file management</x:v>
      </x:c>
      <x:c r="C8" s="24" t="str">
        <x:v>Normal Git; Git LFS; Release assets; External storage</x:v>
      </x:c>
      <x:c r="D8" s="24" t="str">
        <x:v>Git LFS plus release packages</x:v>
      </x:c>
      <x:c r="E8" s="24" t="str">
        <x:v>Technology</x:v>
      </x:c>
      <x:c r="F8" s="25" t="n">
        <x:v>46234</x:v>
      </x:c>
      <x:c r="G8" s="24" t="str">
        <x:v>Pending</x:v>
      </x:c>
      <x:c r="H8" s="24" t="str"/>
      <x:c r="I8" s="24" t="str"/>
      <x:c r="J8" s="24" t="str">
        <x:v>REPOSITORY_CLEANUP_PLAN.md</x:v>
      </x:c>
    </x:row>
    <x:row r="9">
      <x:c r="A9" t="str">
        <x:v>D-005</x:v>
      </x:c>
      <x:c r="B9" s="24" t="str">
        <x:v>Phase 2 database scope</x:v>
      </x:c>
      <x:c r="C9" s="24" t="str">
        <x:v>Minimum casebook tables; Full enterprise expansion</x:v>
      </x:c>
      <x:c r="D9" s="24" t="str">
        <x:v>Minimum complete casebook scope first</x:v>
      </x:c>
      <x:c r="E9" s="24" t="str">
        <x:v>Data Architect</x:v>
      </x:c>
      <x:c r="F9" s="25" t="n">
        <x:v>46237</x:v>
      </x:c>
      <x:c r="G9" s="24" t="str">
        <x:v>Pending</x:v>
      </x:c>
      <x:c r="H9" s="24" t="str"/>
      <x:c r="I9" s="24" t="str"/>
      <x:c r="J9" s="24" t="str">
        <x:v>ABC_RETAIL_PHASE2_SCOPE.md</x:v>
      </x:c>
    </x:row>
    <x:row r="10">
      <x:c r="A10" t="str">
        <x:v>D-006</x:v>
      </x:c>
      <x:c r="B10" s="24" t="str">
        <x:v>Pilot delivery</x:v>
      </x:c>
      <x:c r="C10" s="24" t="str">
        <x:v>Selected modules; Full six months</x:v>
      </x:c>
      <x:c r="D10" s="24" t="str">
        <x:v>Selected 4–6 week pilot first</x:v>
      </x:c>
      <x:c r="E10" s="24" t="str">
        <x:v>Academy Management</x:v>
      </x:c>
      <x:c r="F10" s="25" t="n">
        <x:v>46285</x:v>
      </x:c>
      <x:c r="G10" s="24" t="str">
        <x:v>Pending</x:v>
      </x:c>
      <x:c r="H10" s="24" t="str"/>
      <x:c r="I10" s="24" t="str"/>
      <x:c r="J10" s="24" t="str">
        <x:v>PROJECT_ROADMAP.md</x:v>
      </x:c>
    </x:row>
    <x:row r="11">
      <x:c r="A11" t="str">
        <x:v>D-007</x:v>
      </x:c>
      <x:c r="B11" s="24" t="str">
        <x:v>Teaching language</x:v>
      </x:c>
      <x:c r="C11" s="24" t="str">
        <x:v>English; French; Bilingual</x:v>
      </x:c>
      <x:c r="D11" s="24" t="str">
        <x:v>English core with French support materials</x:v>
      </x:c>
      <x:c r="E11" s="24" t="str">
        <x:v>Academic Affairs</x:v>
      </x:c>
      <x:c r="F11" s="25" t="n">
        <x:v>46249</x:v>
      </x:c>
      <x:c r="G11" s="24" t="str">
        <x:v>Pending</x:v>
      </x:c>
      <x:c r="H11" s="24" t="str"/>
      <x:c r="I11" s="24" t="str"/>
      <x:c r="J11" s="24" t="str">
        <x:v>Curriculum delivery decision</x:v>
      </x:c>
    </x:row>
    <x:row r="12">
      <x:c r="B12" s="24"/>
      <x:c r="C12" s="24"/>
      <x:c r="D12" s="24"/>
      <x:c r="E12" s="24"/>
      <x:c r="F12" s="25"/>
      <x:c r="G12" s="24"/>
      <x:c r="H12" s="24"/>
      <x:c r="I12" s="24"/>
      <x:c r="J12" s="24"/>
    </x:row>
    <x:row r="13">
      <x:c r="B13" s="24"/>
      <x:c r="C13" s="24"/>
      <x:c r="D13" s="24"/>
      <x:c r="E13" s="24"/>
      <x:c r="F13" s="25"/>
      <x:c r="G13" s="24"/>
      <x:c r="H13" s="24"/>
      <x:c r="I13" s="24"/>
      <x:c r="J13" s="24"/>
    </x:row>
    <x:row r="14">
      <x:c r="B14" s="24"/>
      <x:c r="C14" s="24"/>
      <x:c r="D14" s="24"/>
      <x:c r="E14" s="24"/>
      <x:c r="F14" s="25"/>
      <x:c r="G14" s="24"/>
      <x:c r="H14" s="24"/>
      <x:c r="I14" s="24"/>
      <x:c r="J14" s="24"/>
    </x:row>
    <x:row r="15">
      <x:c r="B15" s="24"/>
      <x:c r="C15" s="24"/>
      <x:c r="D15" s="24"/>
      <x:c r="E15" s="24"/>
      <x:c r="F15" s="25"/>
      <x:c r="G15" s="24"/>
      <x:c r="H15" s="24"/>
      <x:c r="I15" s="24"/>
      <x:c r="J15" s="24"/>
    </x:row>
    <x:row r="16">
      <x:c r="B16" s="24"/>
      <x:c r="C16" s="24"/>
      <x:c r="D16" s="24"/>
      <x:c r="E16" s="24"/>
      <x:c r="F16" s="25"/>
      <x:c r="G16" s="24"/>
      <x:c r="H16" s="24"/>
      <x:c r="I16" s="24"/>
      <x:c r="J16" s="24"/>
    </x:row>
    <x:row r="17">
      <x:c r="B17" s="24"/>
      <x:c r="C17" s="24"/>
      <x:c r="D17" s="24"/>
      <x:c r="E17" s="24"/>
      <x:c r="F17" s="25"/>
      <x:c r="G17" s="24"/>
      <x:c r="H17" s="24"/>
      <x:c r="I17" s="24"/>
      <x:c r="J17" s="24"/>
    </x:row>
    <x:row r="18">
      <x:c r="B18" s="24"/>
      <x:c r="C18" s="24"/>
      <x:c r="D18" s="24"/>
      <x:c r="E18" s="24"/>
      <x:c r="F18" s="25"/>
      <x:c r="G18" s="24"/>
      <x:c r="H18" s="24"/>
      <x:c r="I18" s="24"/>
      <x:c r="J18" s="24"/>
    </x:row>
    <x:row r="19">
      <x:c r="B19" s="24"/>
      <x:c r="C19" s="24"/>
      <x:c r="D19" s="24"/>
      <x:c r="E19" s="24"/>
      <x:c r="F19" s="25"/>
      <x:c r="G19" s="24"/>
      <x:c r="H19" s="24"/>
      <x:c r="I19" s="24"/>
      <x:c r="J19" s="24"/>
    </x:row>
    <x:row r="20">
      <x:c r="B20" s="24"/>
      <x:c r="C20" s="24"/>
      <x:c r="D20" s="24"/>
      <x:c r="E20" s="24"/>
      <x:c r="F20" s="25"/>
      <x:c r="G20" s="24"/>
      <x:c r="H20" s="24"/>
      <x:c r="I20" s="24"/>
      <x:c r="J20" s="24"/>
    </x:row>
    <x:row r="21">
      <x:c r="B21" s="24"/>
      <x:c r="C21" s="24"/>
      <x:c r="D21" s="24"/>
      <x:c r="E21" s="24"/>
      <x:c r="F21" s="25"/>
      <x:c r="G21" s="24"/>
      <x:c r="H21" s="24"/>
      <x:c r="I21" s="24"/>
      <x:c r="J21" s="24"/>
    </x:row>
    <x:row r="22">
      <x:c r="B22" s="24"/>
      <x:c r="C22" s="24"/>
      <x:c r="D22" s="24"/>
      <x:c r="E22" s="24"/>
      <x:c r="F22" s="25"/>
      <x:c r="G22" s="24"/>
      <x:c r="H22" s="24"/>
      <x:c r="I22" s="24"/>
      <x:c r="J22" s="24"/>
    </x:row>
    <x:row r="23">
      <x:c r="B23" s="24"/>
      <x:c r="C23" s="24"/>
      <x:c r="D23" s="24"/>
      <x:c r="E23" s="24"/>
      <x:c r="F23" s="25"/>
      <x:c r="G23" s="24"/>
      <x:c r="H23" s="24"/>
      <x:c r="I23" s="24"/>
      <x:c r="J23" s="24"/>
    </x:row>
    <x:row r="24">
      <x:c r="B24" s="24"/>
      <x:c r="C24" s="24"/>
      <x:c r="D24" s="24"/>
      <x:c r="E24" s="24"/>
      <x:c r="F24" s="25"/>
      <x:c r="G24" s="24"/>
      <x:c r="H24" s="24"/>
      <x:c r="I24" s="24"/>
      <x:c r="J24" s="24"/>
    </x:row>
    <x:row r="25">
      <x:c r="B25" s="24"/>
      <x:c r="C25" s="24"/>
      <x:c r="D25" s="24"/>
      <x:c r="E25" s="24"/>
      <x:c r="F25" s="25"/>
      <x:c r="G25" s="24"/>
      <x:c r="H25" s="24"/>
      <x:c r="I25" s="24"/>
      <x:c r="J25" s="24"/>
    </x:row>
    <x:row r="26">
      <x:c r="B26" s="24"/>
      <x:c r="C26" s="24"/>
      <x:c r="D26" s="24"/>
      <x:c r="E26" s="24"/>
      <x:c r="F26" s="25"/>
      <x:c r="G26" s="24"/>
      <x:c r="H26" s="24"/>
      <x:c r="I26" s="24"/>
      <x:c r="J26" s="24"/>
    </x:row>
    <x:row r="27">
      <x:c r="B27" s="24"/>
      <x:c r="C27" s="24"/>
      <x:c r="D27" s="24"/>
      <x:c r="E27" s="24"/>
      <x:c r="F27" s="25"/>
      <x:c r="G27" s="24"/>
      <x:c r="H27" s="24"/>
      <x:c r="I27" s="24"/>
      <x:c r="J27" s="24"/>
    </x:row>
    <x:row r="28">
      <x:c r="B28" s="24"/>
      <x:c r="C28" s="24"/>
      <x:c r="D28" s="24"/>
      <x:c r="E28" s="24"/>
      <x:c r="F28" s="25"/>
      <x:c r="G28" s="24"/>
      <x:c r="H28" s="24"/>
      <x:c r="I28" s="24"/>
      <x:c r="J28" s="24"/>
    </x:row>
    <x:row r="29">
      <x:c r="B29" s="24"/>
      <x:c r="C29" s="24"/>
      <x:c r="D29" s="24"/>
      <x:c r="E29" s="24"/>
      <x:c r="F29" s="25"/>
      <x:c r="G29" s="24"/>
      <x:c r="H29" s="24"/>
      <x:c r="I29" s="24"/>
      <x:c r="J29" s="24"/>
    </x:row>
    <x:row r="30">
      <x:c r="B30" s="24"/>
      <x:c r="C30" s="24"/>
      <x:c r="D30" s="24"/>
      <x:c r="E30" s="24"/>
      <x:c r="F30" s="25"/>
      <x:c r="G30" s="24"/>
      <x:c r="H30" s="24"/>
      <x:c r="I30" s="24"/>
      <x:c r="J30" s="24"/>
    </x:row>
    <x:row r="31">
      <x:c r="B31" s="24"/>
      <x:c r="C31" s="24"/>
      <x:c r="D31" s="24"/>
      <x:c r="E31" s="24"/>
      <x:c r="F31" s="25"/>
      <x:c r="G31" s="24"/>
      <x:c r="H31" s="24"/>
      <x:c r="I31" s="24"/>
      <x:c r="J31" s="24"/>
    </x:row>
    <x:row r="32">
      <x:c r="B32" s="24"/>
      <x:c r="C32" s="24"/>
      <x:c r="D32" s="24"/>
      <x:c r="E32" s="24"/>
      <x:c r="F32" s="25"/>
      <x:c r="G32" s="24"/>
      <x:c r="H32" s="24"/>
      <x:c r="I32" s="24"/>
      <x:c r="J32" s="24"/>
    </x:row>
    <x:row r="33">
      <x:c r="B33" s="24"/>
      <x:c r="C33" s="24"/>
      <x:c r="D33" s="24"/>
      <x:c r="E33" s="24"/>
      <x:c r="F33" s="25"/>
      <x:c r="G33" s="24"/>
      <x:c r="H33" s="24"/>
      <x:c r="I33" s="24"/>
      <x:c r="J33" s="24"/>
    </x:row>
    <x:row r="34">
      <x:c r="B34" s="24"/>
      <x:c r="C34" s="24"/>
      <x:c r="D34" s="24"/>
      <x:c r="E34" s="24"/>
      <x:c r="F34" s="25"/>
      <x:c r="G34" s="24"/>
      <x:c r="H34" s="24"/>
      <x:c r="I34" s="24"/>
      <x:c r="J34" s="24"/>
    </x:row>
    <x:row r="35">
      <x:c r="B35" s="24"/>
      <x:c r="C35" s="24"/>
      <x:c r="D35" s="24"/>
      <x:c r="E35" s="24"/>
      <x:c r="F35" s="25"/>
      <x:c r="G35" s="24"/>
      <x:c r="H35" s="24"/>
      <x:c r="I35" s="24"/>
      <x:c r="J35" s="24"/>
    </x:row>
    <x:row r="36">
      <x:c r="B36" s="24"/>
      <x:c r="C36" s="24"/>
      <x:c r="D36" s="24"/>
      <x:c r="E36" s="24"/>
      <x:c r="F36" s="25"/>
      <x:c r="G36" s="24"/>
      <x:c r="H36" s="24"/>
      <x:c r="I36" s="24"/>
      <x:c r="J36" s="24"/>
    </x:row>
    <x:row r="37">
      <x:c r="B37" s="24"/>
      <x:c r="C37" s="24"/>
      <x:c r="D37" s="24"/>
      <x:c r="E37" s="24"/>
      <x:c r="F37" s="25"/>
      <x:c r="G37" s="24"/>
      <x:c r="H37" s="24"/>
      <x:c r="I37" s="24"/>
      <x:c r="J37" s="24"/>
    </x:row>
    <x:row r="38">
      <x:c r="B38" s="24"/>
      <x:c r="C38" s="24"/>
      <x:c r="D38" s="24"/>
      <x:c r="E38" s="24"/>
      <x:c r="F38" s="25"/>
      <x:c r="G38" s="24"/>
      <x:c r="H38" s="24"/>
      <x:c r="I38" s="24"/>
      <x:c r="J38" s="24"/>
    </x:row>
    <x:row r="39">
      <x:c r="B39" s="24"/>
      <x:c r="C39" s="24"/>
      <x:c r="D39" s="24"/>
      <x:c r="E39" s="24"/>
      <x:c r="F39" s="25"/>
      <x:c r="G39" s="24"/>
      <x:c r="H39" s="24"/>
      <x:c r="I39" s="24"/>
      <x:c r="J39" s="24"/>
    </x:row>
    <x:row r="40">
      <x:c r="B40" s="24"/>
      <x:c r="C40" s="24"/>
      <x:c r="D40" s="24"/>
      <x:c r="E40" s="24"/>
      <x:c r="F40" s="25"/>
      <x:c r="G40" s="24"/>
      <x:c r="H40" s="24"/>
      <x:c r="I40" s="24"/>
      <x:c r="J40" s="24"/>
    </x:row>
    <x:row r="41">
      <x:c r="B41" s="24"/>
      <x:c r="C41" s="24"/>
      <x:c r="D41" s="24"/>
      <x:c r="E41" s="24"/>
      <x:c r="F41" s="25"/>
      <x:c r="G41" s="24"/>
      <x:c r="H41" s="24"/>
      <x:c r="I41" s="24"/>
      <x:c r="J41" s="24"/>
    </x:row>
    <x:row r="42">
      <x:c r="B42" s="24"/>
      <x:c r="C42" s="24"/>
      <x:c r="D42" s="24"/>
      <x:c r="E42" s="24"/>
      <x:c r="F42" s="25"/>
      <x:c r="G42" s="24"/>
      <x:c r="H42" s="24"/>
      <x:c r="I42" s="24"/>
      <x:c r="J42" s="24"/>
    </x:row>
    <x:row r="43">
      <x:c r="B43" s="24"/>
      <x:c r="C43" s="24"/>
      <x:c r="D43" s="24"/>
      <x:c r="E43" s="24"/>
      <x:c r="F43" s="25"/>
      <x:c r="G43" s="24"/>
      <x:c r="H43" s="24"/>
      <x:c r="I43" s="24"/>
      <x:c r="J43" s="24"/>
    </x:row>
    <x:row r="44">
      <x:c r="B44" s="24"/>
      <x:c r="C44" s="24"/>
      <x:c r="D44" s="24"/>
      <x:c r="E44" s="24"/>
      <x:c r="F44" s="25"/>
      <x:c r="G44" s="24"/>
      <x:c r="H44" s="24"/>
      <x:c r="I44" s="24"/>
      <x:c r="J44" s="24"/>
    </x:row>
    <x:row r="45">
      <x:c r="B45" s="24"/>
      <x:c r="C45" s="24"/>
      <x:c r="D45" s="24"/>
      <x:c r="E45" s="24"/>
      <x:c r="F45" s="25"/>
      <x:c r="G45" s="24"/>
      <x:c r="H45" s="24"/>
      <x:c r="I45" s="24"/>
      <x:c r="J45" s="24"/>
    </x:row>
    <x:row r="46">
      <x:c r="B46" s="24"/>
      <x:c r="C46" s="24"/>
      <x:c r="D46" s="24"/>
      <x:c r="E46" s="24"/>
      <x:c r="F46" s="25"/>
      <x:c r="G46" s="24"/>
      <x:c r="H46" s="24"/>
      <x:c r="I46" s="24"/>
      <x:c r="J46" s="24"/>
    </x:row>
    <x:row r="47">
      <x:c r="B47" s="24"/>
      <x:c r="C47" s="24"/>
      <x:c r="D47" s="24"/>
      <x:c r="E47" s="24"/>
      <x:c r="F47" s="25"/>
      <x:c r="G47" s="24"/>
      <x:c r="H47" s="24"/>
      <x:c r="I47" s="24"/>
      <x:c r="J47" s="24"/>
    </x:row>
    <x:row r="48">
      <x:c r="B48" s="24"/>
      <x:c r="C48" s="24"/>
      <x:c r="D48" s="24"/>
      <x:c r="E48" s="24"/>
      <x:c r="F48" s="25"/>
      <x:c r="G48" s="24"/>
      <x:c r="H48" s="24"/>
      <x:c r="I48" s="24"/>
      <x:c r="J48" s="24"/>
    </x:row>
    <x:row r="49">
      <x:c r="B49" s="24"/>
      <x:c r="C49" s="24"/>
      <x:c r="D49" s="24"/>
      <x:c r="E49" s="24"/>
      <x:c r="F49" s="25"/>
      <x:c r="G49" s="24"/>
      <x:c r="H49" s="24"/>
      <x:c r="I49" s="24"/>
      <x:c r="J49" s="24"/>
    </x:row>
    <x:row r="50">
      <x:c r="B50" s="24"/>
      <x:c r="C50" s="24"/>
      <x:c r="D50" s="24"/>
      <x:c r="E50" s="24"/>
      <x:c r="F50" s="25"/>
      <x:c r="G50" s="24"/>
      <x:c r="H50" s="24"/>
      <x:c r="I50" s="24"/>
      <x:c r="J50" s="24"/>
    </x:row>
    <x:row r="51">
      <x:c r="B51" s="24"/>
      <x:c r="C51" s="24"/>
      <x:c r="D51" s="24"/>
      <x:c r="E51" s="24"/>
      <x:c r="F51" s="25"/>
      <x:c r="G51" s="24"/>
      <x:c r="H51" s="24"/>
      <x:c r="I51" s="24"/>
      <x:c r="J51" s="24"/>
    </x:row>
    <x:row r="52">
      <x:c r="B52" s="24"/>
      <x:c r="C52" s="24"/>
      <x:c r="D52" s="24"/>
      <x:c r="E52" s="24"/>
      <x:c r="F52" s="25"/>
      <x:c r="G52" s="24"/>
      <x:c r="H52" s="24"/>
      <x:c r="I52" s="24"/>
      <x:c r="J52" s="24"/>
    </x:row>
    <x:row r="53">
      <x:c r="B53" s="24"/>
      <x:c r="C53" s="24"/>
      <x:c r="D53" s="24"/>
      <x:c r="E53" s="24"/>
      <x:c r="F53" s="25"/>
      <x:c r="G53" s="24"/>
      <x:c r="H53" s="24"/>
      <x:c r="I53" s="24"/>
      <x:c r="J53" s="24"/>
    </x:row>
    <x:row r="54">
      <x:c r="B54" s="24"/>
      <x:c r="C54" s="24"/>
      <x:c r="D54" s="24"/>
      <x:c r="E54" s="24"/>
      <x:c r="F54" s="25"/>
      <x:c r="G54" s="24"/>
      <x:c r="H54" s="24"/>
      <x:c r="I54" s="24"/>
      <x:c r="J54" s="24"/>
    </x:row>
    <x:row r="55">
      <x:c r="B55" s="24"/>
      <x:c r="C55" s="24"/>
      <x:c r="D55" s="24"/>
      <x:c r="E55" s="24"/>
      <x:c r="F55" s="25"/>
      <x:c r="G55" s="24"/>
      <x:c r="H55" s="24"/>
      <x:c r="I55" s="24"/>
      <x:c r="J55" s="24"/>
    </x:row>
    <x:row r="56">
      <x:c r="B56" s="24"/>
      <x:c r="C56" s="24"/>
      <x:c r="D56" s="24"/>
      <x:c r="E56" s="24"/>
      <x:c r="F56" s="25"/>
      <x:c r="G56" s="24"/>
      <x:c r="H56" s="24"/>
      <x:c r="I56" s="24"/>
      <x:c r="J56" s="24"/>
    </x:row>
    <x:row r="57">
      <x:c r="B57" s="24"/>
      <x:c r="C57" s="24"/>
      <x:c r="D57" s="24"/>
      <x:c r="E57" s="24"/>
      <x:c r="F57" s="25"/>
      <x:c r="G57" s="24"/>
      <x:c r="H57" s="24"/>
      <x:c r="I57" s="24"/>
      <x:c r="J57" s="24"/>
    </x:row>
    <x:row r="58">
      <x:c r="B58" s="24"/>
      <x:c r="C58" s="24"/>
      <x:c r="D58" s="24"/>
      <x:c r="E58" s="24"/>
      <x:c r="F58" s="25"/>
      <x:c r="G58" s="24"/>
      <x:c r="H58" s="24"/>
      <x:c r="I58" s="24"/>
      <x:c r="J58" s="24"/>
    </x:row>
    <x:row r="59">
      <x:c r="B59" s="24"/>
      <x:c r="C59" s="24"/>
      <x:c r="D59" s="24"/>
      <x:c r="E59" s="24"/>
      <x:c r="F59" s="25"/>
      <x:c r="G59" s="24"/>
      <x:c r="H59" s="24"/>
      <x:c r="I59" s="24"/>
      <x:c r="J59" s="24"/>
    </x:row>
    <x:row r="60">
      <x:c r="B60" s="24"/>
      <x:c r="C60" s="24"/>
      <x:c r="D60" s="24"/>
      <x:c r="E60" s="24"/>
      <x:c r="F60" s="25"/>
      <x:c r="G60" s="24"/>
      <x:c r="H60" s="24"/>
      <x:c r="I60" s="24"/>
      <x:c r="J60" s="24"/>
    </x:row>
    <x:row r="61">
      <x:c r="B61" s="24"/>
      <x:c r="C61" s="24"/>
      <x:c r="D61" s="24"/>
      <x:c r="E61" s="24"/>
      <x:c r="F61" s="25"/>
      <x:c r="G61" s="24"/>
      <x:c r="H61" s="24"/>
      <x:c r="I61" s="24"/>
      <x:c r="J61" s="24"/>
    </x:row>
    <x:row r="62">
      <x:c r="B62" s="24"/>
      <x:c r="C62" s="24"/>
      <x:c r="D62" s="24"/>
      <x:c r="E62" s="24"/>
      <x:c r="F62" s="25"/>
      <x:c r="G62" s="24"/>
      <x:c r="H62" s="24"/>
      <x:c r="I62" s="24"/>
      <x:c r="J62" s="24"/>
    </x:row>
    <x:row r="63">
      <x:c r="B63" s="24"/>
      <x:c r="C63" s="24"/>
      <x:c r="D63" s="24"/>
      <x:c r="E63" s="24"/>
      <x:c r="F63" s="25"/>
      <x:c r="G63" s="24"/>
      <x:c r="H63" s="24"/>
      <x:c r="I63" s="24"/>
      <x:c r="J63" s="24"/>
    </x:row>
    <x:row r="64">
      <x:c r="B64" s="24"/>
      <x:c r="C64" s="24"/>
      <x:c r="D64" s="24"/>
      <x:c r="E64" s="24"/>
      <x:c r="F64" s="25"/>
      <x:c r="G64" s="24"/>
      <x:c r="H64" s="24"/>
      <x:c r="I64" s="24"/>
      <x:c r="J64" s="24"/>
    </x:row>
    <x:row r="65">
      <x:c r="B65" s="24"/>
      <x:c r="C65" s="24"/>
      <x:c r="D65" s="24"/>
      <x:c r="E65" s="24"/>
      <x:c r="F65" s="25"/>
      <x:c r="G65" s="24"/>
      <x:c r="H65" s="24"/>
      <x:c r="I65" s="24"/>
      <x:c r="J65" s="24"/>
    </x:row>
    <x:row r="66">
      <x:c r="B66" s="24"/>
      <x:c r="C66" s="24"/>
      <x:c r="D66" s="24"/>
      <x:c r="E66" s="24"/>
      <x:c r="F66" s="25"/>
      <x:c r="G66" s="24"/>
      <x:c r="H66" s="24"/>
      <x:c r="I66" s="24"/>
      <x:c r="J66" s="24"/>
    </x:row>
    <x:row r="67">
      <x:c r="B67" s="24"/>
      <x:c r="C67" s="24"/>
      <x:c r="D67" s="24"/>
      <x:c r="E67" s="24"/>
      <x:c r="F67" s="25"/>
      <x:c r="G67" s="24"/>
      <x:c r="H67" s="24"/>
      <x:c r="I67" s="24"/>
      <x:c r="J67" s="24"/>
    </x:row>
    <x:row r="68">
      <x:c r="B68" s="24"/>
      <x:c r="C68" s="24"/>
      <x:c r="D68" s="24"/>
      <x:c r="E68" s="24"/>
      <x:c r="F68" s="25"/>
      <x:c r="G68" s="24"/>
      <x:c r="H68" s="24"/>
      <x:c r="I68" s="24"/>
      <x:c r="J68" s="24"/>
    </x:row>
    <x:row r="69">
      <x:c r="B69" s="24"/>
      <x:c r="C69" s="24"/>
      <x:c r="D69" s="24"/>
      <x:c r="E69" s="24"/>
      <x:c r="F69" s="25"/>
      <x:c r="G69" s="24"/>
      <x:c r="H69" s="24"/>
      <x:c r="I69" s="24"/>
      <x:c r="J69" s="24"/>
    </x:row>
    <x:row r="70">
      <x:c r="B70" s="24"/>
      <x:c r="C70" s="24"/>
      <x:c r="D70" s="24"/>
      <x:c r="E70" s="24"/>
      <x:c r="F70" s="25"/>
      <x:c r="G70" s="24"/>
      <x:c r="H70" s="24"/>
      <x:c r="I70" s="24"/>
      <x:c r="J70" s="24"/>
    </x:row>
    <x:row r="71">
      <x:c r="B71" s="24"/>
      <x:c r="C71" s="24"/>
      <x:c r="D71" s="24"/>
      <x:c r="E71" s="24"/>
      <x:c r="F71" s="25"/>
      <x:c r="G71" s="24"/>
      <x:c r="H71" s="24"/>
      <x:c r="I71" s="24"/>
      <x:c r="J71" s="24"/>
    </x:row>
    <x:row r="72">
      <x:c r="B72" s="24"/>
      <x:c r="C72" s="24"/>
      <x:c r="D72" s="24"/>
      <x:c r="E72" s="24"/>
      <x:c r="F72" s="25"/>
      <x:c r="G72" s="24"/>
      <x:c r="H72" s="24"/>
      <x:c r="I72" s="24"/>
      <x:c r="J72" s="24"/>
    </x:row>
    <x:row r="73">
      <x:c r="B73" s="24"/>
      <x:c r="C73" s="24"/>
      <x:c r="D73" s="24"/>
      <x:c r="E73" s="24"/>
      <x:c r="F73" s="25"/>
      <x:c r="G73" s="24"/>
      <x:c r="H73" s="24"/>
      <x:c r="I73" s="24"/>
      <x:c r="J73" s="24"/>
    </x:row>
    <x:row r="74">
      <x:c r="B74" s="24"/>
      <x:c r="C74" s="24"/>
      <x:c r="D74" s="24"/>
      <x:c r="E74" s="24"/>
      <x:c r="F74" s="25"/>
      <x:c r="G74" s="24"/>
      <x:c r="H74" s="24"/>
      <x:c r="I74" s="24"/>
      <x:c r="J74" s="24"/>
    </x:row>
    <x:row r="75">
      <x:c r="B75" s="24"/>
      <x:c r="C75" s="24"/>
      <x:c r="D75" s="24"/>
      <x:c r="E75" s="24"/>
      <x:c r="F75" s="25"/>
      <x:c r="G75" s="24"/>
      <x:c r="H75" s="24"/>
      <x:c r="I75" s="24"/>
      <x:c r="J75" s="24"/>
    </x:row>
    <x:row r="76">
      <x:c r="B76" s="24"/>
      <x:c r="C76" s="24"/>
      <x:c r="D76" s="24"/>
      <x:c r="E76" s="24"/>
      <x:c r="F76" s="25"/>
      <x:c r="G76" s="24"/>
      <x:c r="H76" s="24"/>
      <x:c r="I76" s="24"/>
      <x:c r="J76" s="24"/>
    </x:row>
    <x:row r="77">
      <x:c r="B77" s="24"/>
      <x:c r="C77" s="24"/>
      <x:c r="D77" s="24"/>
      <x:c r="E77" s="24"/>
      <x:c r="F77" s="25"/>
      <x:c r="G77" s="24"/>
      <x:c r="H77" s="24"/>
      <x:c r="I77" s="24"/>
      <x:c r="J77" s="24"/>
    </x:row>
    <x:row r="78">
      <x:c r="B78" s="24"/>
      <x:c r="C78" s="24"/>
      <x:c r="D78" s="24"/>
      <x:c r="E78" s="24"/>
      <x:c r="F78" s="25"/>
      <x:c r="G78" s="24"/>
      <x:c r="H78" s="24"/>
      <x:c r="I78" s="24"/>
      <x:c r="J78" s="24"/>
    </x:row>
    <x:row r="79">
      <x:c r="B79" s="24"/>
      <x:c r="C79" s="24"/>
      <x:c r="D79" s="24"/>
      <x:c r="E79" s="24"/>
      <x:c r="F79" s="25"/>
      <x:c r="G79" s="24"/>
      <x:c r="H79" s="24"/>
      <x:c r="I79" s="24"/>
      <x:c r="J79" s="24"/>
    </x:row>
    <x:row r="80">
      <x:c r="B80" s="24"/>
      <x:c r="C80" s="24"/>
      <x:c r="D80" s="24"/>
      <x:c r="E80" s="24"/>
      <x:c r="F80" s="25"/>
      <x:c r="G80" s="24"/>
      <x:c r="H80" s="24"/>
      <x:c r="I80" s="24"/>
      <x:c r="J80" s="24"/>
    </x:row>
    <x:row r="81">
      <x:c r="B81" s="24"/>
      <x:c r="C81" s="24"/>
      <x:c r="D81" s="24"/>
      <x:c r="E81" s="24"/>
      <x:c r="F81" s="25"/>
      <x:c r="G81" s="24"/>
      <x:c r="H81" s="24"/>
      <x:c r="I81" s="24"/>
      <x:c r="J81" s="24"/>
    </x:row>
    <x:row r="82">
      <x:c r="B82" s="24"/>
      <x:c r="C82" s="24"/>
      <x:c r="D82" s="24"/>
      <x:c r="E82" s="24"/>
      <x:c r="F82" s="25"/>
      <x:c r="G82" s="24"/>
      <x:c r="H82" s="24"/>
      <x:c r="I82" s="24"/>
      <x:c r="J82" s="24"/>
    </x:row>
    <x:row r="83">
      <x:c r="B83" s="24"/>
      <x:c r="C83" s="24"/>
      <x:c r="D83" s="24"/>
      <x:c r="E83" s="24"/>
      <x:c r="F83" s="25"/>
      <x:c r="G83" s="24"/>
      <x:c r="H83" s="24"/>
      <x:c r="I83" s="24"/>
      <x:c r="J83" s="24"/>
    </x:row>
    <x:row r="84">
      <x:c r="B84" s="24"/>
      <x:c r="C84" s="24"/>
      <x:c r="D84" s="24"/>
      <x:c r="E84" s="24"/>
      <x:c r="F84" s="25"/>
      <x:c r="G84" s="24"/>
      <x:c r="H84" s="24"/>
      <x:c r="I84" s="24"/>
      <x:c r="J84" s="24"/>
    </x:row>
    <x:row r="85">
      <x:c r="B85" s="24"/>
      <x:c r="C85" s="24"/>
      <x:c r="D85" s="24"/>
      <x:c r="E85" s="24"/>
      <x:c r="F85" s="25"/>
      <x:c r="G85" s="24"/>
      <x:c r="H85" s="24"/>
      <x:c r="I85" s="24"/>
      <x:c r="J85" s="24"/>
    </x:row>
    <x:row r="86">
      <x:c r="B86" s="24"/>
      <x:c r="C86" s="24"/>
      <x:c r="D86" s="24"/>
      <x:c r="E86" s="24"/>
      <x:c r="F86" s="25"/>
      <x:c r="G86" s="24"/>
      <x:c r="H86" s="24"/>
      <x:c r="I86" s="24"/>
      <x:c r="J86" s="24"/>
    </x:row>
    <x:row r="87">
      <x:c r="B87" s="24"/>
      <x:c r="C87" s="24"/>
      <x:c r="D87" s="24"/>
      <x:c r="E87" s="24"/>
      <x:c r="F87" s="25"/>
      <x:c r="G87" s="24"/>
      <x:c r="H87" s="24"/>
      <x:c r="I87" s="24"/>
      <x:c r="J87" s="24"/>
    </x:row>
    <x:row r="88">
      <x:c r="B88" s="24"/>
      <x:c r="C88" s="24"/>
      <x:c r="D88" s="24"/>
      <x:c r="E88" s="24"/>
      <x:c r="F88" s="25"/>
      <x:c r="G88" s="24"/>
      <x:c r="H88" s="24"/>
      <x:c r="I88" s="24"/>
      <x:c r="J88" s="24"/>
    </x:row>
    <x:row r="89">
      <x:c r="B89" s="24"/>
      <x:c r="C89" s="24"/>
      <x:c r="D89" s="24"/>
      <x:c r="E89" s="24"/>
      <x:c r="F89" s="25"/>
      <x:c r="G89" s="24"/>
      <x:c r="H89" s="24"/>
      <x:c r="I89" s="24"/>
      <x:c r="J89" s="24"/>
    </x:row>
    <x:row r="90">
      <x:c r="B90" s="24"/>
      <x:c r="C90" s="24"/>
      <x:c r="D90" s="24"/>
      <x:c r="E90" s="24"/>
      <x:c r="F90" s="25"/>
      <x:c r="G90" s="24"/>
      <x:c r="H90" s="24"/>
      <x:c r="I90" s="24"/>
      <x:c r="J90" s="24"/>
    </x:row>
    <x:row r="91">
      <x:c r="B91" s="24"/>
      <x:c r="C91" s="24"/>
      <x:c r="D91" s="24"/>
      <x:c r="E91" s="24"/>
      <x:c r="F91" s="25"/>
      <x:c r="G91" s="24"/>
      <x:c r="H91" s="24"/>
      <x:c r="I91" s="24"/>
      <x:c r="J91" s="24"/>
    </x:row>
    <x:row r="92">
      <x:c r="B92" s="24"/>
      <x:c r="C92" s="24"/>
      <x:c r="D92" s="24"/>
      <x:c r="E92" s="24"/>
      <x:c r="F92" s="25"/>
      <x:c r="G92" s="24"/>
      <x:c r="H92" s="24"/>
      <x:c r="I92" s="24"/>
      <x:c r="J92" s="24"/>
    </x:row>
    <x:row r="93">
      <x:c r="B93" s="24"/>
      <x:c r="C93" s="24"/>
      <x:c r="D93" s="24"/>
      <x:c r="E93" s="24"/>
      <x:c r="F93" s="25"/>
      <x:c r="G93" s="24"/>
      <x:c r="H93" s="24"/>
      <x:c r="I93" s="24"/>
      <x:c r="J93" s="24"/>
    </x:row>
    <x:row r="94">
      <x:c r="B94" s="24"/>
      <x:c r="C94" s="24"/>
      <x:c r="D94" s="24"/>
      <x:c r="E94" s="24"/>
      <x:c r="F94" s="25"/>
      <x:c r="G94" s="24"/>
      <x:c r="H94" s="24"/>
      <x:c r="I94" s="24"/>
      <x:c r="J94" s="24"/>
    </x:row>
    <x:row r="95">
      <x:c r="B95" s="24"/>
      <x:c r="C95" s="24"/>
      <x:c r="D95" s="24"/>
      <x:c r="E95" s="24"/>
      <x:c r="F95" s="25"/>
      <x:c r="G95" s="24"/>
      <x:c r="H95" s="24"/>
      <x:c r="I95" s="24"/>
      <x:c r="J95" s="24"/>
    </x:row>
    <x:row r="96">
      <x:c r="B96" s="24"/>
      <x:c r="C96" s="24"/>
      <x:c r="D96" s="24"/>
      <x:c r="E96" s="24"/>
      <x:c r="F96" s="25"/>
      <x:c r="G96" s="24"/>
      <x:c r="H96" s="24"/>
      <x:c r="I96" s="24"/>
      <x:c r="J96" s="24"/>
    </x:row>
    <x:row r="97">
      <x:c r="B97" s="24"/>
      <x:c r="C97" s="24"/>
      <x:c r="D97" s="24"/>
      <x:c r="E97" s="24"/>
      <x:c r="F97" s="25"/>
      <x:c r="G97" s="24"/>
      <x:c r="H97" s="24"/>
      <x:c r="I97" s="24"/>
      <x:c r="J97" s="24"/>
    </x:row>
    <x:row r="98">
      <x:c r="B98" s="24"/>
      <x:c r="C98" s="24"/>
      <x:c r="D98" s="24"/>
      <x:c r="E98" s="24"/>
      <x:c r="F98" s="25"/>
      <x:c r="G98" s="24"/>
      <x:c r="H98" s="24"/>
      <x:c r="I98" s="24"/>
      <x:c r="J98" s="24"/>
    </x:row>
    <x:row r="99">
      <x:c r="B99" s="24"/>
      <x:c r="C99" s="24"/>
      <x:c r="D99" s="24"/>
      <x:c r="E99" s="24"/>
      <x:c r="F99" s="25"/>
      <x:c r="G99" s="24"/>
      <x:c r="H99" s="24"/>
      <x:c r="I99" s="24"/>
      <x:c r="J99" s="24"/>
    </x:row>
    <x:row r="100">
      <x:c r="B100" s="24"/>
      <x:c r="C100" s="24"/>
      <x:c r="D100" s="24"/>
      <x:c r="E100" s="24"/>
      <x:c r="F100" s="25"/>
      <x:c r="G100" s="24"/>
      <x:c r="H100" s="24"/>
      <x:c r="I100" s="24"/>
      <x:c r="J100" s="24"/>
    </x:row>
  </x:sheetData>
  <x:mergeCells>
    <x:mergeCell ref="A1:J2"/>
  </x:mergeCells>
  <x:dataValidations count="1">
    <x:dataValidation type="list" sqref="G5:G100">
      <x:formula1>"Pending,Approved,Rejected,Deferred"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f904b6660146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56" hidden="0" customWidth="1"/>
    <x:col min="5" max="5" width="28" hidden="0" customWidth="1"/>
    <x:col min="6" max="6" width="30" hidden="0" customWidth="1"/>
    <x:col min="7" max="7" width="44" hidden="0" customWidth="1"/>
    <x:col min="8" max="8" width="16" hidden="0" customWidth="1"/>
    <x:col min="9" max="9" width="30" hidden="0" customWidth="1"/>
  </x:cols>
  <x:sheetData>
    <x:row r="1" ht="30" customHeight="1">
      <x:c r="A1" s="5" t="str">
        <x:v>Immediate 30-Day Execution Plan</x:v>
      </x:c>
    </x:row>
    <x:row r="4">
      <x:c r="A4" s="14" t="str">
        <x:v>Week</x:v>
      </x:c>
      <x:c r="B4" s="14" t="str">
        <x:v>Date Range</x:v>
      </x:c>
      <x:c r="C4" s="14" t="str">
        <x:v>Priority Objective</x:v>
      </x:c>
      <x:c r="D4" s="14" t="str">
        <x:v>Deliverables</x:v>
      </x:c>
      <x:c r="E4" s="14" t="str">
        <x:v>Owner</x:v>
      </x:c>
      <x:c r="F4" s="14" t="str">
        <x:v>Dependency</x:v>
      </x:c>
      <x:c r="G4" s="14" t="str">
        <x:v>Success Measure</x:v>
      </x:c>
      <x:c r="H4" s="14" t="str">
        <x:v>Status</x:v>
      </x:c>
      <x:c r="I4" s="14" t="str">
        <x:v>Notes</x:v>
      </x:c>
    </x:row>
    <x:row r="5">
      <x:c r="A5" t="str">
        <x:v>Week 1</x:v>
      </x:c>
      <x:c r="B5" t="str">
        <x:v>20–26 Jul 2026</x:v>
      </x:c>
      <x:c r="C5" s="24" t="str">
        <x:v>Secure and govern the repository</x:v>
      </x:c>
      <x:c r="D5" s="24" t="str">
        <x:v>Enable write access; add README; add roadmap; add document register; decide licence direction</x:v>
      </x:c>
      <x:c r="E5" s="24" t="str">
        <x:v>Founder / Repository Owner</x:v>
      </x:c>
      <x:c r="F5" s="24" t="str">
        <x:v>GitHub permissions</x:v>
      </x:c>
      <x:c r="G5" s="24" t="str">
        <x:v>Governance documents visible and controlled</x:v>
      </x:c>
      <x:c r="H5" s="24" t="str">
        <x:v>Not Started</x:v>
      </x:c>
      <x:c r="I5" s="24" t="str"/>
    </x:row>
    <x:row r="6">
      <x:c r="A6" t="str">
        <x:v>Week 2</x:v>
      </x:c>
      <x:c r="B6" t="str">
        <x:v>27 Jul–2 Aug 2026</x:v>
      </x:c>
      <x:c r="C6" s="24" t="str">
        <x:v>Protect content and clean structure</x:v>
      </x:c>
      <x:c r="D6" s="24" t="str">
        <x:v>Classify public/private files; remove duplicates; configure attributes; upload casebook</x:v>
      </x:c>
      <x:c r="E6" s="24" t="str">
        <x:v>Academic Affairs / Technology</x:v>
      </x:c>
      <x:c r="F6" s="24" t="str">
        <x:v>Week 1</x:v>
      </x:c>
      <x:c r="G6" s="24" t="str">
        <x:v>Restricted files identified; casebook committed</x:v>
      </x:c>
      <x:c r="H6" s="24" t="str">
        <x:v>Not Started</x:v>
      </x:c>
      <x:c r="I6" s="24" t="str"/>
    </x:row>
    <x:row r="7">
      <x:c r="A7" t="str">
        <x:v>Week 3</x:v>
      </x:c>
      <x:c r="B7" t="str">
        <x:v>3–9 Aug 2026</x:v>
      </x:c>
      <x:c r="C7" s="24" t="str">
        <x:v>Design ABC Retail Phase 2</x:v>
      </x:c>
      <x:c r="D7" s="24" t="str">
        <x:v>Approve entities, relationships, identifiers, constraints, and seed-data volumes</x:v>
      </x:c>
      <x:c r="E7" s="24" t="str">
        <x:v>Data Architect</x:v>
      </x:c>
      <x:c r="F7" s="24" t="str">
        <x:v>Casebook uploaded</x:v>
      </x:c>
      <x:c r="G7" s="24" t="str">
        <x:v>Approved Phase 2 design and traceability matrix</x:v>
      </x:c>
      <x:c r="H7" s="24" t="str">
        <x:v>Not Started</x:v>
      </x:c>
      <x:c r="I7" s="24" t="str"/>
    </x:row>
    <x:row r="8">
      <x:c r="A8" t="str">
        <x:v>Week 4</x:v>
      </x:c>
      <x:c r="B8" t="str">
        <x:v>10–18 Aug 2026</x:v>
      </x:c>
      <x:c r="C8" s="24" t="str">
        <x:v>Build and validate Phase 2 foundation</x:v>
      </x:c>
      <x:c r="D8" s="24" t="str">
        <x:v>Create schema and seed data for logistics, IT, security, risk, and audit</x:v>
      </x:c>
      <x:c r="E8" s="24" t="str">
        <x:v>Database Developer / QA</x:v>
      </x:c>
      <x:c r="F8" s="24" t="str">
        <x:v>Week 3</x:v>
      </x:c>
      <x:c r="G8" s="24" t="str">
        <x:v>Scripts execute successfully and core casebook queries return results</x:v>
      </x:c>
      <x:c r="H8" s="24" t="str">
        <x:v>Not Started</x:v>
      </x:c>
      <x:c r="I8" s="24" t="str"/>
    </x:row>
    <x:row r="9">
      <x:c r="C9" s="24"/>
      <x:c r="D9" s="24"/>
      <x:c r="E9" s="24"/>
      <x:c r="F9" s="24"/>
      <x:c r="G9" s="24"/>
      <x:c r="H9" s="24"/>
      <x:c r="I9" s="24"/>
    </x:row>
    <x:row r="10">
      <x:c r="C10" s="24"/>
      <x:c r="D10" s="24"/>
      <x:c r="E10" s="24"/>
      <x:c r="F10" s="24"/>
      <x:c r="G10" s="24"/>
      <x:c r="H10" s="24"/>
      <x:c r="I10" s="24"/>
    </x:row>
    <x:row r="11">
      <x:c r="C11" s="24"/>
      <x:c r="D11" s="24"/>
      <x:c r="E11" s="24"/>
      <x:c r="F11" s="24"/>
      <x:c r="G11" s="24"/>
      <x:c r="H11" s="24"/>
      <x:c r="I11" s="24"/>
    </x:row>
    <x:row r="12">
      <x:c r="C12" s="24"/>
      <x:c r="D12" s="24"/>
      <x:c r="E12" s="24"/>
      <x:c r="F12" s="24"/>
      <x:c r="G12" s="24"/>
      <x:c r="H12" s="24"/>
      <x:c r="I12" s="24"/>
    </x:row>
    <x:row r="13">
      <x:c r="C13" s="24"/>
      <x:c r="D13" s="24"/>
      <x:c r="E13" s="24"/>
      <x:c r="F13" s="24"/>
      <x:c r="G13" s="24"/>
      <x:c r="H13" s="24"/>
      <x:c r="I13" s="24"/>
    </x:row>
    <x:row r="14">
      <x:c r="C14" s="24"/>
      <x:c r="D14" s="24"/>
      <x:c r="E14" s="24"/>
      <x:c r="F14" s="24"/>
      <x:c r="G14" s="24"/>
      <x:c r="H14" s="24"/>
      <x:c r="I14" s="24"/>
    </x:row>
    <x:row r="15">
      <x:c r="C15" s="24"/>
      <x:c r="D15" s="24"/>
      <x:c r="E15" s="24"/>
      <x:c r="F15" s="24"/>
      <x:c r="G15" s="24"/>
      <x:c r="H15" s="24"/>
      <x:c r="I15" s="24"/>
    </x:row>
    <x:row r="16">
      <x:c r="C16" s="24"/>
      <x:c r="D16" s="24"/>
      <x:c r="E16" s="24"/>
      <x:c r="F16" s="24"/>
      <x:c r="G16" s="24"/>
      <x:c r="H16" s="24"/>
      <x:c r="I16" s="24"/>
    </x:row>
    <x:row r="17">
      <x:c r="C17" s="24"/>
      <x:c r="D17" s="24"/>
      <x:c r="E17" s="24"/>
      <x:c r="F17" s="24"/>
      <x:c r="G17" s="24"/>
      <x:c r="H17" s="24"/>
      <x:c r="I17" s="24"/>
    </x:row>
    <x:row r="18">
      <x:c r="C18" s="24"/>
      <x:c r="D18" s="24"/>
      <x:c r="E18" s="24"/>
      <x:c r="F18" s="24"/>
      <x:c r="G18" s="24"/>
      <x:c r="H18" s="24"/>
      <x:c r="I18" s="24"/>
    </x:row>
    <x:row r="19">
      <x:c r="C19" s="24"/>
      <x:c r="D19" s="24"/>
      <x:c r="E19" s="24"/>
      <x:c r="F19" s="24"/>
      <x:c r="G19" s="24"/>
      <x:c r="H19" s="24"/>
      <x:c r="I19" s="24"/>
    </x:row>
    <x:row r="20">
      <x:c r="C20" s="24"/>
      <x:c r="D20" s="24"/>
      <x:c r="E20" s="24"/>
      <x:c r="F20" s="24"/>
      <x:c r="G20" s="24"/>
      <x:c r="H20" s="24"/>
      <x:c r="I20" s="24"/>
    </x:row>
  </x:sheetData>
  <x:mergeCells>
    <x:mergeCell ref="A1:I2"/>
  </x:mergeCells>
  <x:conditionalFormatting sqref="H5:H20">
    <x:cfRule type="expression" dxfId="6" priority="1">
      <x:formula>H5="Completed"</x:formula>
    </x:cfRule>
    <x:cfRule type="expression" dxfId="7" priority="2">
      <x:formula>H5="Blocked"</x:formula>
    </x:cfRule>
  </x:conditionalFormatting>
  <x:dataValidations count="1">
    <x:dataValidation type="list" sqref="H5:H20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6448bd29443c1"/>
  </x:tableParts>
</x:worksheet>
</file>