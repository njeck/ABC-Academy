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56f9cbc66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54985897fd7414e"/>
    <x:sheet xmlns:r="http://schemas.openxmlformats.org/officeDocument/2006/relationships" name="Lab 1 Cleaning" sheetId="2" r:id="Ra4a3fa1e5ba04fc9"/>
    <x:sheet xmlns:r="http://schemas.openxmlformats.org/officeDocument/2006/relationships" name="Lab 2 Formulas" sheetId="3" r:id="R0237efe313484e96"/>
    <x:sheet xmlns:r="http://schemas.openxmlformats.org/officeDocument/2006/relationships" name="Lab 3 Filter" sheetId="4" r:id="R376d3605520f4c00"/>
    <x:sheet xmlns:r="http://schemas.openxmlformats.org/officeDocument/2006/relationships" name="Lab 4 Analysis" sheetId="5" r:id="R6f9afb4047d44cf8"/>
    <x:sheet xmlns:r="http://schemas.openxmlformats.org/officeDocument/2006/relationships" name="Lab 5 Dashboard" sheetId="6" r:id="Raf6bef38e3164df3"/>
    <x:sheet xmlns:r="http://schemas.openxmlformats.org/officeDocument/2006/relationships" name="Answer Key" sheetId="7" r:id="Rcbc91c021a57489e"/>
    <x:sheet xmlns:r="http://schemas.openxmlformats.org/officeDocument/2006/relationships" name="Marking Rubric" sheetId="8" r:id="Rb905bd74e3054c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A300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4">
    <x:border/>
    <x:border/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2" fillId="3" borderId="9" xfId="0" applyNumberFormat="1" applyFont="1" applyFill="1" applyBorder="1" applyAlignment="1">
      <x:alignment horizontal="center" vertical="center" wrapText="1"/>
    </x:xf>
    <x:xf numFmtId="200" fontId="2" fillId="3" borderId="12" xfId="0" applyNumberFormat="1" applyFont="1" applyFill="1" applyBorder="1" applyAlignment="1">
      <x:alignment horizontal="center" vertical="center" wrapText="1"/>
    </x:xf>
    <x:xf numFmtId="200" fontId="2" fillId="3" borderId="10" xfId="0" applyNumberFormat="1" applyFont="1" applyFill="1" applyBorder="1" applyAlignment="1">
      <x:alignment horizontal="center" vertical="center" wrapText="1"/>
    </x:xf>
    <x:xf numFmtId="200" fontId="2" fillId="3" borderId="1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cf664ddcf4da5" /><Relationship Type="http://schemas.openxmlformats.org/officeDocument/2006/relationships/theme" Target="/xl/theme/theme1.xml" Id="Rf56c7cc7027847ea" /><Relationship Type="http://schemas.openxmlformats.org/officeDocument/2006/relationships/sharedStrings" Target="/xl/sharedStrings.xml" Id="Rd642b67fe8a5431b" /><Relationship Type="http://schemas.openxmlformats.org/officeDocument/2006/relationships/worksheet" Target="/xl/worksheets/sheet1.xml" Id="R254985897fd7414e" /><Relationship Type="http://schemas.openxmlformats.org/officeDocument/2006/relationships/worksheet" Target="/xl/worksheets/sheet2.xml" Id="Ra4a3fa1e5ba04fc9" /><Relationship Type="http://schemas.openxmlformats.org/officeDocument/2006/relationships/worksheet" Target="/xl/worksheets/sheet3.xml" Id="R0237efe313484e96" /><Relationship Type="http://schemas.openxmlformats.org/officeDocument/2006/relationships/worksheet" Target="/xl/worksheets/sheet4.xml" Id="R376d3605520f4c00" /><Relationship Type="http://schemas.openxmlformats.org/officeDocument/2006/relationships/worksheet" Target="/xl/worksheets/sheet5.xml" Id="R6f9afb4047d44cf8" /><Relationship Type="http://schemas.openxmlformats.org/officeDocument/2006/relationships/worksheet" Target="/xl/worksheets/sheet6.xml" Id="Raf6bef38e3164df3" /><Relationship Type="http://schemas.openxmlformats.org/officeDocument/2006/relationships/worksheet" Target="/xl/worksheets/sheet7.xml" Id="Rcbc91c021a57489e" /><Relationship Type="http://schemas.openxmlformats.org/officeDocument/2006/relationships/worksheet" Target="/xl/worksheets/sheet8.xml" Id="Rb905bd74e3054c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936dcf81d94f2a" /><Relationship Type="http://schemas.openxmlformats.org/officeDocument/2006/relationships/chart" Target="/xl/drawings/charts/chart2.xml" Id="R80ca1515d1e849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Total Sales by Branch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Sales</c:v>
          </c:tx>
          <c:cat>
            <c:strRef>
              <c:f>'Lab 5 Dashboard'!$A$5:$A$8</c:f>
              <c:strCache>
                <c:ptCount val="0"/>
              </c:strCache>
            </c:strRef>
          </c:cat>
          <c:val>
            <c:numRef>
              <c:f>'Lab 5 Dashboard'!$B$5:$B$8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Order Count by Branch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cat>
            <c:strRef>
              <c:f>'Lab 5 Dashboard'!$A$5:$A$8</c:f>
              <c:strCache>
                <c:ptCount val="0"/>
              </c:strCache>
            </c:strRef>
          </c:cat>
          <c:val>
            <c:numRef>
              <c:f>'Lab 5 Dashboard'!$B$5:$B$8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Order Count</c:v>
          </c:tx>
          <c:cat>
            <c:strRef>
              <c:f>'Lab 5 Dashboard'!$A$5:$A$8</c:f>
              <c:strCache>
                <c:ptCount val="0"/>
              </c:strCache>
            </c:strRef>
          </c:cat>
          <c:val>
            <c:numRef>
              <c:f>'Lab 5 Dashboard'!$C$5:$C$8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936dcf81d94f2a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ca1515d1e849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ab1EmployeeData" displayName="Lab1EmployeeData" ref="E4:J36" headerRowCount="1">
  <x:tableColumns count="6">
    <x:tableColumn id="1" name="Employee ID"/>
    <x:tableColumn id="2" name="First Name"/>
    <x:tableColumn id="3" name="Last Name"/>
    <x:tableColumn id="4" name="Department"/>
    <x:tableColumn id="5" name="Branch"/>
    <x:tableColumn id="6" name="Monthly Salary"/>
  </x:tableColumns>
  <x:tableStyleInfo name="TableStyleMedium2" showRowStripes="1"/>
</x:table>
</file>

<file path=xl/tables/table2.xml><?xml version="1.0" encoding="utf-8"?>
<x:table xmlns:x="http://schemas.openxmlformats.org/spreadsheetml/2006/main" id="2" name="Lab2FormulaTable" displayName="Lab2FormulaTable" ref="A4:L34" headerRowCount="1">
  <x:tableColumns count="12">
    <x:tableColumn id="1" name="Employee ID"/>
    <x:tableColumn id="2" name="First Name"/>
    <x:tableColumn id="3" name="Last Name"/>
    <x:tableColumn id="4" name="Department"/>
    <x:tableColumn id="5" name="Branch"/>
    <x:tableColumn id="6" name="Hire Date"/>
    <x:tableColumn id="7" name="Monthly Salary"/>
    <x:tableColumn id="8" name="Annual Salary"/>
    <x:tableColumn id="9" name="Monthly Tax"/>
    <x:tableColumn id="10" name="Net Monthly Salary"/>
    <x:tableColumn id="11" name="Years of Service"/>
    <x:tableColumn id="12" name="Salary Band"/>
  </x:tableColumns>
  <x:tableStyleInfo name="TableStyleMedium2" showRowStripes="1"/>
</x:table>
</file>

<file path=xl/tables/table3.xml><?xml version="1.0" encoding="utf-8"?>
<x:table xmlns:x="http://schemas.openxmlformats.org/spreadsheetml/2006/main" id="3" name="Lab3SalesData" displayName="Lab3SalesData" ref="A4:J84" headerRowCount="1">
  <x:tableColumns count="10">
    <x:tableColumn id="1" name="Order ID"/>
    <x:tableColumn id="2" name="Order Date"/>
    <x:tableColumn id="3" name="Branch"/>
    <x:tableColumn id="4" name="Product ID"/>
    <x:tableColumn id="5" name="Quantity"/>
    <x:tableColumn id="6" name="Unit Price"/>
    <x:tableColumn id="7" name="Discount"/>
    <x:tableColumn id="8" name="Sales Total"/>
    <x:tableColumn id="9" name="Channel"/>
    <x:tableColumn id="10" name="Payment Status"/>
  </x:tableColumns>
  <x:tableStyleInfo name="TableStyleMedium2" showRowStripes="1"/>
</x:table>
</file>

<file path=xl/tables/table4.xml><?xml version="1.0" encoding="utf-8"?>
<x:table xmlns:x="http://schemas.openxmlformats.org/spreadsheetml/2006/main" id="4" name="Lab4SalesData" displayName="Lab4SalesData" ref="A4:J84" headerRowCount="1">
  <x:tableColumns count="10">
    <x:tableColumn id="1" name="Order ID"/>
    <x:tableColumn id="2" name="Order Date"/>
    <x:tableColumn id="3" name="Branch"/>
    <x:tableColumn id="4" name="Product ID"/>
    <x:tableColumn id="5" name="Quantity"/>
    <x:tableColumn id="6" name="Unit Price"/>
    <x:tableColumn id="7" name="Discount"/>
    <x:tableColumn id="8" name="Sales Total"/>
    <x:tableColumn id="9" name="Channel"/>
    <x:tableColumn id="10" name="Payment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3cc5d3aa854d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55b2ae17af4c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f9e693503746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db26f7192745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9716fb7507d4db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 ht="30" customHeight="1">
      <x:c r="A1" s="5" t="str">
        <x:v>DABA Beginner Excel Practical Workbook</x:v>
      </x:c>
    </x:row>
    <x:row r="4">
      <x:c r="A4" s="21" t="str">
        <x:v>Document Code</x:v>
      </x:c>
      <x:c r="B4" s="40" t="str">
        <x:v>DABA-ABC-EXCEL-002</x:v>
      </x:c>
    </x:row>
    <x:row r="5">
      <x:c r="A5" s="22" t="str">
        <x:v>Version</x:v>
      </x:c>
      <x:c r="B5" s="40" t="str">
        <x:v>1.0</x:v>
      </x:c>
    </x:row>
    <x:row r="6">
      <x:c r="A6" s="22" t="str">
        <x:v>Enterprise</x:v>
      </x:c>
      <x:c r="B6" s="40" t="str">
        <x:v>ABC Retail Ltd</x:v>
      </x:c>
    </x:row>
    <x:row r="7">
      <x:c r="A7" s="22" t="str">
        <x:v>Level</x:v>
      </x:c>
      <x:c r="B7" s="40" t="str">
        <x:v>Beginner</x:v>
      </x:c>
    </x:row>
    <x:row r="8">
      <x:c r="A8" s="22" t="str">
        <x:v>Founder</x:v>
      </x:c>
      <x:c r="B8" s="40" t="str">
        <x:v>Mbah Dousbel Angum</x:v>
      </x:c>
    </x:row>
    <x:row r="9">
      <x:c r="A9" s="22" t="str">
        <x:v>Purpose</x:v>
      </x:c>
      <x:c r="B9" s="40" t="str">
        <x:v>Guided Excel practical exercises using fictional business data.</x:v>
      </x:c>
    </x:row>
    <x:row r="10">
      <x:c r="A10" s="22" t="str">
        <x:v>Recommended Duration</x:v>
      </x:c>
      <x:c r="B10" s="40" t="str">
        <x:v>5 practical sessions of 60–90 minutes each</x:v>
      </x:c>
    </x:row>
    <x:row r="11">
      <x:c r="A11" s="23" t="str">
        <x:v>Required Skills</x:v>
      </x:c>
      <x:c r="B11" s="40" t="str">
        <x:v>Basic Excel navigation, data entry, formatting, formulas, sorting, and filtering</x:v>
      </x:c>
    </x:row>
    <x:row r="14">
      <x:c r="A14" s="53" t="str">
        <x:v>Workbook Structure</x:v>
      </x:c>
      <x:c r="B14" s="54" t="str"/>
      <x:c r="C14" s="54" t="str"/>
      <x:c r="D14" s="54" t="str"/>
      <x:c r="E14" s="54" t="str"/>
      <x:c r="F14" s="54" t="str"/>
      <x:c r="G14" s="54" t="str"/>
      <x:c r="H14" s="55" t="str"/>
    </x:row>
    <x:row r="16">
      <x:c r="A16" s="21" t="str">
        <x:v>Lab 1</x:v>
      </x:c>
      <x:c r="B16" s="69" t="str">
        <x:v>Formatting and Data Cleaning</x:v>
      </x:c>
    </x:row>
    <x:row r="17">
      <x:c r="A17" s="22" t="str">
        <x:v>Lab 2</x:v>
      </x:c>
      <x:c r="B17" s="69" t="str">
        <x:v>Basic Formulas and Functions</x:v>
      </x:c>
    </x:row>
    <x:row r="18">
      <x:c r="A18" s="22" t="str">
        <x:v>Lab 3</x:v>
      </x:c>
      <x:c r="B18" s="69" t="str">
        <x:v>Sorting, Filtering, and Conditional Formatting</x:v>
      </x:c>
    </x:row>
    <x:row r="19">
      <x:c r="A19" s="22" t="str">
        <x:v>Lab 4</x:v>
      </x:c>
      <x:c r="B19" s="69" t="str">
        <x:v>Summary Analysis with SUMIFS and COUNTIFS</x:v>
      </x:c>
    </x:row>
    <x:row r="20">
      <x:c r="A20" s="22" t="str">
        <x:v>Lab 5</x:v>
      </x:c>
      <x:c r="B20" s="69" t="str">
        <x:v>Charts and Management Reporting</x:v>
      </x:c>
    </x:row>
    <x:row r="21">
      <x:c r="A21" s="22" t="str">
        <x:v>Answer Key</x:v>
      </x:c>
      <x:c r="B21" s="69" t="str">
        <x:v>Instructor reference formulas and expected results</x:v>
      </x:c>
    </x:row>
    <x:row r="22">
      <x:c r="A22" s="23" t="str">
        <x:v>Marking Rubric</x:v>
      </x:c>
      <x:c r="B22" s="69" t="str">
        <x:v>Assessment criteria for each practical lab</x:v>
      </x:c>
    </x:row>
  </x:sheetData>
  <x:mergeCells>
    <x:mergeCell ref="A1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34" hidden="0" customWidth="1"/>
    <x:col min="4" max="4" width="8" hidden="0" customWidth="1"/>
    <x:col min="5" max="5" width="14" hidden="0" customWidth="1"/>
    <x:col min="6" max="6" width="16" hidden="0" customWidth="1"/>
    <x:col min="7" max="7" width="16" hidden="0" customWidth="1"/>
    <x:col min="8" max="8" width="20" hidden="0" customWidth="1"/>
    <x:col min="9" max="9" width="20" hidden="0" customWidth="1"/>
    <x:col min="10" max="10" width="18" hidden="0" customWidth="1"/>
  </x:cols>
  <x:sheetData>
    <x:row r="1" ht="30" customHeight="1">
      <x:c r="A1" s="5" t="str">
        <x:v>Lab 1 — Formatting and Data Cleaning</x:v>
      </x:c>
    </x:row>
    <x:row r="4">
      <x:c r="A4" s="53" t="str">
        <x:v>Task No.</x:v>
      </x:c>
      <x:c r="B4" s="54" t="str">
        <x:v>Student Task</x:v>
      </x:c>
      <x:c r="C4" s="54" t="str">
        <x:v>Expected Action</x:v>
      </x:c>
      <x:c r="D4" s="54" t="str">
        <x:v>Marks</x:v>
      </x:c>
      <x:c r="E4" s="54" t="str">
        <x:v>Employee ID</x:v>
      </x:c>
      <x:c r="F4" s="54" t="str">
        <x:v>First Name</x:v>
      </x:c>
      <x:c r="G4" s="54" t="str">
        <x:v>Last Name</x:v>
      </x:c>
      <x:c r="H4" s="54" t="str">
        <x:v>Department</x:v>
      </x:c>
      <x:c r="I4" s="54" t="str">
        <x:v>Branch</x:v>
      </x:c>
      <x:c r="J4" s="55" t="str">
        <x:v>Monthly Salary</x:v>
      </x:c>
    </x:row>
    <x:row r="5">
      <x:c r="A5" t="n">
        <x:v>1</x:v>
      </x:c>
      <x:c r="B5" s="74" t="str">
        <x:v>Remove duplicate employee records.</x:v>
      </x:c>
      <x:c r="C5" s="74" t="str">
        <x:v>Use Remove Duplicates on all columns.</x:v>
      </x:c>
      <x:c r="D5" t="n">
        <x:v>3</x:v>
      </x:c>
      <x:c r="E5" t="str">
        <x:v>EMP0001</x:v>
      </x:c>
      <x:c r="F5" t="str">
        <x:v>Aline</x:v>
      </x:c>
      <x:c r="G5" t="str">
        <x:v>Tambe</x:v>
      </x:c>
      <x:c r="H5" t="str">
        <x:v>Sales</x:v>
      </x:c>
      <x:c r="I5" t="str">
        <x:v>Douala Central</x:v>
      </x:c>
      <x:c r="J5" s="72" t="n">
        <x:v>445000</x:v>
      </x:c>
    </x:row>
    <x:row r="6">
      <x:c r="A6" t="n">
        <x:v>2</x:v>
      </x:c>
      <x:c r="B6" s="74" t="str">
        <x:v>Correct inconsistent capitalization.</x:v>
      </x:c>
      <x:c r="C6" s="74" t="str">
        <x:v>Apply proper capitalization to names and departments.</x:v>
      </x:c>
      <x:c r="D6" t="n">
        <x:v>3</x:v>
      </x:c>
      <x:c r="E6" t="str">
        <x:v>EMP0002</x:v>
      </x:c>
      <x:c r="F6" t="str">
        <x:v>Boris</x:v>
      </x:c>
      <x:c r="G6" t="str">
        <x:v>Asong</x:v>
      </x:c>
      <x:c r="H6" t="str">
        <x:v>Finance</x:v>
      </x:c>
      <x:c r="I6" t="str">
        <x:v>Yaounde Central</x:v>
      </x:c>
      <x:c r="J6" s="72" t="n">
        <x:v>700000</x:v>
      </x:c>
    </x:row>
    <x:row r="7">
      <x:c r="A7" t="n">
        <x:v>3</x:v>
      </x:c>
      <x:c r="B7" s="74" t="str">
        <x:v>Remove extra spaces.</x:v>
      </x:c>
      <x:c r="C7" s="74" t="str">
        <x:v>Use TRIM or Find &amp; Replace.</x:v>
      </x:c>
      <x:c r="D7" t="n">
        <x:v>2</x:v>
      </x:c>
      <x:c r="E7" t="str">
        <x:v>EMP0003</x:v>
      </x:c>
      <x:c r="F7" t="str">
        <x:v>  claudine </x:v>
      </x:c>
      <x:c r="G7" t="str">
        <x:v>Ewane</x:v>
      </x:c>
      <x:c r="H7" t="str">
        <x:v>Human Resources</x:v>
      </x:c>
      <x:c r="I7" t="str">
        <x:v>Buea Branch</x:v>
      </x:c>
      <x:c r="J7" s="72" t="n">
        <x:v>595000</x:v>
      </x:c>
    </x:row>
    <x:row r="8">
      <x:c r="A8" t="n">
        <x:v>4</x:v>
      </x:c>
      <x:c r="B8" s="74" t="str">
        <x:v>Correct missing salary values.</x:v>
      </x:c>
      <x:c r="C8" s="74" t="str">
        <x:v>Use approved reference values.</x:v>
      </x:c>
      <x:c r="D8" t="n">
        <x:v>3</x:v>
      </x:c>
      <x:c r="E8" t="str">
        <x:v>EMP0004</x:v>
      </x:c>
      <x:c r="F8" t="str">
        <x:v>David</x:v>
      </x:c>
      <x:c r="G8" t="str">
        <x:v>Talla</x:v>
      </x:c>
      <x:c r="H8" t="str">
        <x:v>Marketing</x:v>
      </x:c>
      <x:c r="I8" t="str">
        <x:v>Bafoussam Branch</x:v>
      </x:c>
      <x:c r="J8" s="72" t="n">
        <x:v>550000</x:v>
      </x:c>
    </x:row>
    <x:row r="9">
      <x:c r="A9" t="n">
        <x:v>5</x:v>
      </x:c>
      <x:c r="B9" s="74" t="str">
        <x:v>Format salary as XAF with thousand separators.</x:v>
      </x:c>
      <x:c r="C9" s="74" t="str">
        <x:v>Apply number formatting.</x:v>
      </x:c>
      <x:c r="D9" t="n">
        <x:v>2</x:v>
      </x:c>
      <x:c r="E9" t="str">
        <x:v>EMP0005</x:v>
      </x:c>
      <x:c r="F9" t="str">
        <x:v>Esther</x:v>
      </x:c>
      <x:c r="G9" t="str">
        <x:v>Ngwa</x:v>
      </x:c>
      <x:c r="H9" t="str">
        <x:v>Inventory</x:v>
      </x:c>
      <x:c r="I9" t="str">
        <x:v>Douala Central</x:v>
      </x:c>
      <x:c r="J9" s="72" t="n">
        <x:v>375000</x:v>
      </x:c>
    </x:row>
    <x:row r="10">
      <x:c r="A10" t="n">
        <x:v>6</x:v>
      </x:c>
      <x:c r="B10" s="74" t="str">
        <x:v>Apply professional table formatting.</x:v>
      </x:c>
      <x:c r="C10" s="74" t="str">
        <x:v>Use a consistent table style.</x:v>
      </x:c>
      <x:c r="D10" t="n">
        <x:v>2</x:v>
      </x:c>
      <x:c r="E10" t="str">
        <x:v>EMP0006</x:v>
      </x:c>
      <x:c r="F10" t="str">
        <x:v>Frank</x:v>
      </x:c>
      <x:c r="G10" t="str">
        <x:v>EWANE</x:v>
      </x:c>
      <x:c r="H10" t="str">
        <x:v>IT</x:v>
      </x:c>
      <x:c r="I10" t="str">
        <x:v>Yaounde Central</x:v>
      </x:c>
      <x:c r="J10" s="72" t="n">
        <x:v>670000</x:v>
      </x:c>
    </x:row>
    <x:row r="11">
      <x:c r="E11" t="str">
        <x:v>EMP0007</x:v>
      </x:c>
      <x:c r="F11" t="str">
        <x:v>Grace</x:v>
      </x:c>
      <x:c r="G11" t="str">
        <x:v>Tambe</x:v>
      </x:c>
      <x:c r="H11" t="str">
        <x:v>Sales</x:v>
      </x:c>
      <x:c r="I11" t="str">
        <x:v>Buea Branch</x:v>
      </x:c>
      <x:c r="J11" s="72" t="n">
        <x:v>495000</x:v>
      </x:c>
    </x:row>
    <x:row r="12">
      <x:c r="E12" t="str">
        <x:v>EMP0008</x:v>
      </x:c>
      <x:c r="F12" t="str">
        <x:v>Henry</x:v>
      </x:c>
      <x:c r="G12" t="str">
        <x:v>Asong</x:v>
      </x:c>
      <x:c r="H12" t="str">
        <x:v>Finance</x:v>
      </x:c>
      <x:c r="I12" t="str">
        <x:v>Bafoussam Branch</x:v>
      </x:c>
      <x:c r="J12" s="72" t="n">
        <x:v>650000</x:v>
      </x:c>
    </x:row>
    <x:row r="13">
      <x:c r="E13" t="str">
        <x:v>EMP0009</x:v>
      </x:c>
      <x:c r="F13" t="str">
        <x:v>Irene</x:v>
      </x:c>
      <x:c r="G13" t="str">
        <x:v>Ewane</x:v>
      </x:c>
      <x:c r="H13" t="str">
        <x:v>human resources</x:v>
      </x:c>
      <x:c r="I13" t="str">
        <x:v>Douala Central</x:v>
      </x:c>
      <x:c r="J13" s="72" t="n">
        <x:v>545000</x:v>
      </x:c>
    </x:row>
    <x:row r="14">
      <x:c r="E14" t="str">
        <x:v>EMP0010</x:v>
      </x:c>
      <x:c r="F14" t="str">
        <x:v>Joel</x:v>
      </x:c>
      <x:c r="G14" t="str">
        <x:v>Talla</x:v>
      </x:c>
      <x:c r="H14" t="str">
        <x:v>Marketing</x:v>
      </x:c>
      <x:c r="I14" t="str">
        <x:v>Yaounde Central</x:v>
      </x:c>
      <x:c r="J14" s="72" t="n">
        <x:v>600000</x:v>
      </x:c>
    </x:row>
    <x:row r="15">
      <x:c r="E15" t="str">
        <x:v>EMP0011</x:v>
      </x:c>
      <x:c r="F15" t="str">
        <x:v>Kevin</x:v>
      </x:c>
      <x:c r="G15" t="str">
        <x:v>Ngwa</x:v>
      </x:c>
      <x:c r="H15" t="str">
        <x:v>Inventory</x:v>
      </x:c>
      <x:c r="I15" t="str">
        <x:v>Buea Branch</x:v>
      </x:c>
      <x:c r="J15" s="72" t="n">
        <x:v>425000</x:v>
      </x:c>
    </x:row>
    <x:row r="16">
      <x:c r="E16" t="str">
        <x:v>EMP0012</x:v>
      </x:c>
      <x:c r="F16" t="str">
        <x:v>Linda</x:v>
      </x:c>
      <x:c r="G16" t="str">
        <x:v>Bih</x:v>
      </x:c>
      <x:c r="H16" t="str">
        <x:v>IT</x:v>
      </x:c>
      <x:c r="I16" t="str">
        <x:v>Bafoussam Branch</x:v>
      </x:c>
      <x:c r="J16" s="72" t="n">
        <x:v>620000</x:v>
      </x:c>
    </x:row>
    <x:row r="17">
      <x:c r="E17" t="str">
        <x:v>EMP0013</x:v>
      </x:c>
      <x:c r="F17" t="str">
        <x:v>Aline</x:v>
      </x:c>
      <x:c r="G17" t="str">
        <x:v>Tambe</x:v>
      </x:c>
      <x:c r="H17" t="str">
        <x:v>Sales</x:v>
      </x:c>
      <x:c r="I17" t="str">
        <x:v>Douala central </x:v>
      </x:c>
      <x:c r="J17" s="72" t="n">
        <x:v>445000</x:v>
      </x:c>
    </x:row>
    <x:row r="18">
      <x:c r="E18" t="str">
        <x:v>EMP0014</x:v>
      </x:c>
      <x:c r="F18" t="str">
        <x:v>Boris</x:v>
      </x:c>
      <x:c r="G18" t="str">
        <x:v>Asong</x:v>
      </x:c>
      <x:c r="H18" t="str">
        <x:v>Finance</x:v>
      </x:c>
      <x:c r="I18" t="str">
        <x:v>Yaounde Central</x:v>
      </x:c>
      <x:c r="J18" s="72" t="n">
        <x:v>700000</x:v>
      </x:c>
    </x:row>
    <x:row r="19">
      <x:c r="E19" t="str">
        <x:v>EMP0015</x:v>
      </x:c>
      <x:c r="F19" t="str">
        <x:v>Claudine</x:v>
      </x:c>
      <x:c r="G19" t="str">
        <x:v>Ewane</x:v>
      </x:c>
      <x:c r="H19" t="str">
        <x:v>Human Resources</x:v>
      </x:c>
      <x:c r="I19" t="str">
        <x:v>Buea Branch</x:v>
      </x:c>
      <x:c r="J19" s="72" t="n">
        <x:v>595000</x:v>
      </x:c>
    </x:row>
    <x:row r="20">
      <x:c r="E20" t="str">
        <x:v>EMP0016</x:v>
      </x:c>
      <x:c r="F20" t="str">
        <x:v>David</x:v>
      </x:c>
      <x:c r="G20" t="str">
        <x:v>Talla</x:v>
      </x:c>
      <x:c r="H20" t="str">
        <x:v>Marketing</x:v>
      </x:c>
      <x:c r="I20" t="str">
        <x:v>Bafoussam Branch</x:v>
      </x:c>
      <x:c r="J20" s="72" t="n">
        <x:v>550000</x:v>
      </x:c>
    </x:row>
    <x:row r="21">
      <x:c r="E21" t="str">
        <x:v>EMP0017</x:v>
      </x:c>
      <x:c r="F21" t="str">
        <x:v>Esther</x:v>
      </x:c>
      <x:c r="G21" t="str">
        <x:v>Ngwa</x:v>
      </x:c>
      <x:c r="H21" t="str">
        <x:v>Inventory</x:v>
      </x:c>
      <x:c r="I21" t="str">
        <x:v>Douala Central</x:v>
      </x:c>
      <x:c r="J21" s="72"/>
    </x:row>
    <x:row r="22">
      <x:c r="E22" t="str">
        <x:v>EMP0018</x:v>
      </x:c>
      <x:c r="F22" t="str">
        <x:v>Frank</x:v>
      </x:c>
      <x:c r="G22" t="str">
        <x:v>Bih</x:v>
      </x:c>
      <x:c r="H22" t="str">
        <x:v>IT</x:v>
      </x:c>
      <x:c r="I22" t="str">
        <x:v>Yaounde Central</x:v>
      </x:c>
      <x:c r="J22" s="72" t="n">
        <x:v>670000</x:v>
      </x:c>
    </x:row>
    <x:row r="23">
      <x:c r="E23" t="str">
        <x:v>EMP0019</x:v>
      </x:c>
      <x:c r="F23" t="str">
        <x:v>Grace</x:v>
      </x:c>
      <x:c r="G23" t="str">
        <x:v>Tambe</x:v>
      </x:c>
      <x:c r="H23" t="str">
        <x:v>Sales</x:v>
      </x:c>
      <x:c r="I23" t="str">
        <x:v>Buea Branch</x:v>
      </x:c>
      <x:c r="J23" s="72" t="n">
        <x:v>495000</x:v>
      </x:c>
    </x:row>
    <x:row r="24">
      <x:c r="E24" t="str">
        <x:v>EMP0020</x:v>
      </x:c>
      <x:c r="F24" t="str">
        <x:v>Henry</x:v>
      </x:c>
      <x:c r="G24" t="str">
        <x:v>Asong</x:v>
      </x:c>
      <x:c r="H24" t="str">
        <x:v>Finance</x:v>
      </x:c>
      <x:c r="I24" t="str">
        <x:v>Bafoussam Branch</x:v>
      </x:c>
      <x:c r="J24" s="72" t="n">
        <x:v>650000</x:v>
      </x:c>
    </x:row>
    <x:row r="25">
      <x:c r="E25" t="str">
        <x:v>EMP0021</x:v>
      </x:c>
      <x:c r="F25" t="str">
        <x:v>Irene</x:v>
      </x:c>
      <x:c r="G25" t="str">
        <x:v>Ewane</x:v>
      </x:c>
      <x:c r="H25" t="str">
        <x:v>Human Resources</x:v>
      </x:c>
      <x:c r="I25" t="str">
        <x:v>Douala Central</x:v>
      </x:c>
      <x:c r="J25" s="72" t="n">
        <x:v>545000</x:v>
      </x:c>
    </x:row>
    <x:row r="26">
      <x:c r="E26" t="str">
        <x:v>EMP0022</x:v>
      </x:c>
      <x:c r="F26" t="str">
        <x:v>grace</x:v>
      </x:c>
      <x:c r="G26" t="str">
        <x:v>Talla</x:v>
      </x:c>
      <x:c r="H26" t="str">
        <x:v>Marketing</x:v>
      </x:c>
      <x:c r="I26" t="str">
        <x:v>Yaounde Central</x:v>
      </x:c>
      <x:c r="J26" s="72" t="n">
        <x:v>600000</x:v>
      </x:c>
    </x:row>
    <x:row r="27">
      <x:c r="E27" t="str">
        <x:v>EMP0023</x:v>
      </x:c>
      <x:c r="F27" t="str">
        <x:v>Kevin</x:v>
      </x:c>
      <x:c r="G27" t="str">
        <x:v>Ngwa</x:v>
      </x:c>
      <x:c r="H27" t="str">
        <x:v>Inventory</x:v>
      </x:c>
      <x:c r="I27" t="str">
        <x:v>Buea Branch</x:v>
      </x:c>
      <x:c r="J27" s="72" t="n">
        <x:v>425000</x:v>
      </x:c>
    </x:row>
    <x:row r="28">
      <x:c r="E28" t="str">
        <x:v>EMP0024</x:v>
      </x:c>
      <x:c r="F28" t="str">
        <x:v>Linda</x:v>
      </x:c>
      <x:c r="G28" t="str">
        <x:v>Bih</x:v>
      </x:c>
      <x:c r="H28" t="str">
        <x:v>IT</x:v>
      </x:c>
      <x:c r="I28" t="str">
        <x:v>Bafoussam Branch</x:v>
      </x:c>
      <x:c r="J28" s="72" t="n">
        <x:v>620000</x:v>
      </x:c>
    </x:row>
    <x:row r="29">
      <x:c r="E29" t="str">
        <x:v>EMP0025</x:v>
      </x:c>
      <x:c r="F29" t="str">
        <x:v>Aline</x:v>
      </x:c>
      <x:c r="G29" t="str">
        <x:v>Tambe</x:v>
      </x:c>
      <x:c r="H29" t="str">
        <x:v>Sales</x:v>
      </x:c>
      <x:c r="I29" t="str">
        <x:v>Douala Central</x:v>
      </x:c>
      <x:c r="J29" s="72" t="n">
        <x:v>445000</x:v>
      </x:c>
    </x:row>
    <x:row r="30">
      <x:c r="E30" t="str">
        <x:v>EMP0026</x:v>
      </x:c>
      <x:c r="F30" t="str">
        <x:v>Boris</x:v>
      </x:c>
      <x:c r="G30" t="str">
        <x:v>Asong</x:v>
      </x:c>
      <x:c r="H30" t="str">
        <x:v>Finance</x:v>
      </x:c>
      <x:c r="I30" t="str">
        <x:v>Yaounde Central</x:v>
      </x:c>
      <x:c r="J30" s="72" t="n">
        <x:v>700000</x:v>
      </x:c>
    </x:row>
    <x:row r="31">
      <x:c r="E31" t="str">
        <x:v>EMP0027</x:v>
      </x:c>
      <x:c r="F31" t="str">
        <x:v>Claudine</x:v>
      </x:c>
      <x:c r="G31" t="str">
        <x:v>Ewane</x:v>
      </x:c>
      <x:c r="H31" t="str">
        <x:v>Human Resources</x:v>
      </x:c>
      <x:c r="I31" t="str">
        <x:v>Buea Branch</x:v>
      </x:c>
      <x:c r="J31" s="72" t="n">
        <x:v>595000</x:v>
      </x:c>
    </x:row>
    <x:row r="32">
      <x:c r="E32" t="str">
        <x:v>EMP0028</x:v>
      </x:c>
      <x:c r="F32" t="str">
        <x:v>David</x:v>
      </x:c>
      <x:c r="G32" t="str">
        <x:v>Talla</x:v>
      </x:c>
      <x:c r="H32" t="str">
        <x:v>Marketing</x:v>
      </x:c>
      <x:c r="I32" t="str">
        <x:v>Bafoussam Branch</x:v>
      </x:c>
      <x:c r="J32" s="72" t="n">
        <x:v>550000</x:v>
      </x:c>
    </x:row>
    <x:row r="33">
      <x:c r="E33" t="str">
        <x:v>EMP0029</x:v>
      </x:c>
      <x:c r="F33" t="str">
        <x:v>Esther</x:v>
      </x:c>
      <x:c r="G33" t="str">
        <x:v>Ngwa</x:v>
      </x:c>
      <x:c r="H33" t="str">
        <x:v>Inventory</x:v>
      </x:c>
      <x:c r="I33" t="str">
        <x:v>Douala Central</x:v>
      </x:c>
      <x:c r="J33" s="72" t="n">
        <x:v>375000</x:v>
      </x:c>
    </x:row>
    <x:row r="34">
      <x:c r="E34" t="str">
        <x:v>EMP0030</x:v>
      </x:c>
      <x:c r="F34" t="str">
        <x:v>Frank</x:v>
      </x:c>
      <x:c r="G34" t="str">
        <x:v>Bih</x:v>
      </x:c>
      <x:c r="H34" t="str">
        <x:v>IT</x:v>
      </x:c>
      <x:c r="I34" t="str">
        <x:v>Yaounde Central</x:v>
      </x:c>
      <x:c r="J34" s="72" t="n">
        <x:v>670000</x:v>
      </x:c>
    </x:row>
    <x:row r="35">
      <x:c r="E35" t="str">
        <x:v>EMP0005</x:v>
      </x:c>
      <x:c r="F35" t="str">
        <x:v>Esther</x:v>
      </x:c>
      <x:c r="G35" t="str">
        <x:v>Ngwa</x:v>
      </x:c>
      <x:c r="H35" t="str">
        <x:v>Inventory</x:v>
      </x:c>
      <x:c r="I35" t="str">
        <x:v>Douala Central</x:v>
      </x:c>
      <x:c r="J35" s="72" t="n">
        <x:v>375000</x:v>
      </x:c>
    </x:row>
    <x:row r="36">
      <x:c r="E36" t="str">
        <x:v>EMP0012</x:v>
      </x:c>
      <x:c r="F36" t="str">
        <x:v>Linda</x:v>
      </x:c>
      <x:c r="G36" t="str">
        <x:v>Bih</x:v>
      </x:c>
      <x:c r="H36" t="str">
        <x:v>IT</x:v>
      </x:c>
      <x:c r="I36" t="str">
        <x:v>Bafoussam Branch</x:v>
      </x:c>
      <x:c r="J36" s="72" t="n">
        <x:v>620000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053cc5d3aa854d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4" max="4" width="20" hidden="0" customWidth="1"/>
    <x:col min="5" max="5" width="20" hidden="0" customWidth="1"/>
    <x:col min="6" max="6" width="14" hidden="0" customWidth="1"/>
    <x:col min="7" max="7" width="18" hidden="0" customWidth="1"/>
    <x:col min="8" max="8" width="18" hidden="0" customWidth="1"/>
    <x:col min="9" max="9" width="16" hidden="0" customWidth="1"/>
    <x:col min="10" max="10" width="18" hidden="0" customWidth="1"/>
    <x:col min="11" max="11" width="16" hidden="0" customWidth="1"/>
    <x:col min="12" max="12" width="14" hidden="0" customWidth="1"/>
    <x:col min="14" max="14" width="18" hidden="0" customWidth="1"/>
    <x:col min="15" max="15" width="38" hidden="0" customWidth="1"/>
    <x:col min="16" max="16" width="8" hidden="0" customWidth="1"/>
    <x:col min="17" max="17" width="18" hidden="0" customWidth="1"/>
  </x:cols>
  <x:sheetData>
    <x:row r="1" ht="30" customHeight="1">
      <x:c r="A1" s="5" t="str">
        <x:v>Lab 2 — Basic Formulas and Functions</x:v>
      </x:c>
    </x:row>
    <x:row r="4">
      <x:c r="A4" s="53" t="str">
        <x:v>Employee ID</x:v>
      </x:c>
      <x:c r="B4" s="54" t="str">
        <x:v>First Name</x:v>
      </x:c>
      <x:c r="C4" s="54" t="str">
        <x:v>Last Name</x:v>
      </x:c>
      <x:c r="D4" s="54" t="str">
        <x:v>Department</x:v>
      </x:c>
      <x:c r="E4" s="54" t="str">
        <x:v>Branch</x:v>
      </x:c>
      <x:c r="F4" s="54" t="str">
        <x:v>Hire Date</x:v>
      </x:c>
      <x:c r="G4" s="54" t="str">
        <x:v>Monthly Salary</x:v>
      </x:c>
      <x:c r="H4" s="54" t="str">
        <x:v>Annual Salary</x:v>
      </x:c>
      <x:c r="I4" s="54" t="str">
        <x:v>Monthly Tax</x:v>
      </x:c>
      <x:c r="J4" s="54" t="str">
        <x:v>Net Monthly Salary</x:v>
      </x:c>
      <x:c r="K4" s="54" t="str">
        <x:v>Years of Service</x:v>
      </x:c>
      <x:c r="L4" s="55" t="str">
        <x:v>Salary Band</x:v>
      </x:c>
      <x:c r="N4" s="53" t="str">
        <x:v>Exercise</x:v>
      </x:c>
      <x:c r="O4" s="54" t="str">
        <x:v>Formula Required</x:v>
      </x:c>
      <x:c r="P4" s="54" t="str">
        <x:v>Marks</x:v>
      </x:c>
      <x:c r="Q4" s="55" t="str">
        <x:v>Student Check</x:v>
      </x:c>
    </x:row>
    <x:row r="5">
      <x:c r="A5" t="str">
        <x:v>EMP0001</x:v>
      </x:c>
      <x:c r="B5" t="str">
        <x:v>Aline</x:v>
      </x:c>
      <x:c r="C5" t="str">
        <x:v>Tambe</x:v>
      </x:c>
      <x:c r="D5" t="str">
        <x:v>Sales</x:v>
      </x:c>
      <x:c r="E5" t="str">
        <x:v>Douala Central</x:v>
      </x:c>
      <x:c r="F5" s="76" t="n">
        <x:v>44946</x:v>
      </x:c>
      <x:c r="G5" s="72" t="n">
        <x:v>445000</x:v>
      </x:c>
      <x:c r="H5" s="72" t="n">
        <x:f>G5*12</x:f>
        <x:v>5340000</x:v>
      </x:c>
      <x:c r="I5" s="72" t="n">
        <x:f>G5*5.5%</x:f>
        <x:v>24475</x:v>
      </x:c>
      <x:c r="J5" s="72" t="n">
        <x:f>G5-I5</x:f>
        <x:v>420525</x:v>
      </x:c>
      <x:c r="K5" t="n">
        <x:f>YEAR(DATE(2026,7,18))-YEAR(F5)-IF(DATE(2026,7,18)&lt;DATE(YEAR(DATE(2026,7,18)),MONTH(F5),DAY(F5)),1,0)</x:f>
        <x:v>3</x:v>
      </x:c>
      <x:c r="L5" t="str">
        <x:f>IF(G5&gt;=600000,"High",IF(G5&gt;=450000,"Medium","Entry"))</x:f>
        <x:v>Entry</x:v>
      </x:c>
      <x:c r="N5" t="str">
        <x:v>Annual Salary</x:v>
      </x:c>
      <x:c r="O5" t="str">
        <x:v>Monthly Salary × 12</x:v>
      </x:c>
      <x:c r="P5" t="n">
        <x:v>3</x:v>
      </x:c>
      <x:c r="Q5" t="str"/>
    </x:row>
    <x:row r="6">
      <x:c r="A6" t="str">
        <x:v>EMP0002</x:v>
      </x:c>
      <x:c r="B6" t="str">
        <x:v>Boris</x:v>
      </x:c>
      <x:c r="C6" t="str">
        <x:v>Asong</x:v>
      </x:c>
      <x:c r="D6" t="str">
        <x:v>Finance</x:v>
      </x:c>
      <x:c r="E6" t="str">
        <x:v>Yaounde Central</x:v>
      </x:c>
      <x:c r="F6" s="76" t="n">
        <x:v>44965</x:v>
      </x:c>
      <x:c r="G6" s="72" t="n">
        <x:v>700000</x:v>
      </x:c>
      <x:c r="H6" s="72" t="n">
        <x:f>G6*12</x:f>
        <x:v>8400000</x:v>
      </x:c>
      <x:c r="I6" s="72" t="n">
        <x:f>G6*5.5%</x:f>
        <x:v>38500</x:v>
      </x:c>
      <x:c r="J6" s="72" t="n">
        <x:f>G6-I6</x:f>
        <x:v>661500</x:v>
      </x:c>
      <x:c r="K6" t="n">
        <x:f>YEAR(DATE(2026,7,18))-YEAR(F6)-IF(DATE(2026,7,18)&lt;DATE(YEAR(DATE(2026,7,18)),MONTH(F6),DAY(F6)),1,0)</x:f>
        <x:v>3</x:v>
      </x:c>
      <x:c r="L6" t="str">
        <x:f>IF(G6&gt;=600000,"High",IF(G6&gt;=450000,"Medium","Entry"))</x:f>
        <x:v>High</x:v>
      </x:c>
      <x:c r="N6" t="str">
        <x:v>Monthly Tax</x:v>
      </x:c>
      <x:c r="O6" t="str">
        <x:v>5.5% of Monthly Salary</x:v>
      </x:c>
      <x:c r="P6" t="n">
        <x:v>3</x:v>
      </x:c>
      <x:c r="Q6" t="str"/>
    </x:row>
    <x:row r="7">
      <x:c r="A7" t="str">
        <x:v>EMP0003</x:v>
      </x:c>
      <x:c r="B7" t="str">
        <x:v>Claudine</x:v>
      </x:c>
      <x:c r="C7" t="str">
        <x:v>Ewane</x:v>
      </x:c>
      <x:c r="D7" t="str">
        <x:v>Human Resources</x:v>
      </x:c>
      <x:c r="E7" t="str">
        <x:v>Buea Branch</x:v>
      </x:c>
      <x:c r="F7" s="76" t="n">
        <x:v>44984</x:v>
      </x:c>
      <x:c r="G7" s="72" t="n">
        <x:v>595000</x:v>
      </x:c>
      <x:c r="H7" s="72" t="n">
        <x:f>G7*12</x:f>
        <x:v>7140000</x:v>
      </x:c>
      <x:c r="I7" s="72" t="n">
        <x:f>G7*5.5%</x:f>
        <x:v>32725</x:v>
      </x:c>
      <x:c r="J7" s="72" t="n">
        <x:f>G7-I7</x:f>
        <x:v>562275</x:v>
      </x:c>
      <x:c r="K7" t="n">
        <x:f>YEAR(DATE(2026,7,18))-YEAR(F7)-IF(DATE(2026,7,18)&lt;DATE(YEAR(DATE(2026,7,18)),MONTH(F7),DAY(F7)),1,0)</x:f>
        <x:v>3</x:v>
      </x:c>
      <x:c r="L7" t="str">
        <x:f>IF(G7&gt;=600000,"High",IF(G7&gt;=450000,"Medium","Entry"))</x:f>
        <x:v>Medium</x:v>
      </x:c>
      <x:c r="N7" t="str">
        <x:v>Net Monthly Salary</x:v>
      </x:c>
      <x:c r="O7" t="str">
        <x:v>Salary − Tax</x:v>
      </x:c>
      <x:c r="P7" t="n">
        <x:v>3</x:v>
      </x:c>
      <x:c r="Q7" t="str"/>
    </x:row>
    <x:row r="8">
      <x:c r="A8" t="str">
        <x:v>EMP0004</x:v>
      </x:c>
      <x:c r="B8" t="str">
        <x:v>David</x:v>
      </x:c>
      <x:c r="C8" t="str">
        <x:v>Talla</x:v>
      </x:c>
      <x:c r="D8" t="str">
        <x:v>Marketing</x:v>
      </x:c>
      <x:c r="E8" t="str">
        <x:v>Bafoussam Branch</x:v>
      </x:c>
      <x:c r="F8" s="76" t="n">
        <x:v>45003</x:v>
      </x:c>
      <x:c r="G8" s="72" t="n">
        <x:v>550000</x:v>
      </x:c>
      <x:c r="H8" s="72" t="n">
        <x:f>G8*12</x:f>
        <x:v>6600000</x:v>
      </x:c>
      <x:c r="I8" s="72" t="n">
        <x:f>G8*5.5%</x:f>
        <x:v>30250</x:v>
      </x:c>
      <x:c r="J8" s="72" t="n">
        <x:f>G8-I8</x:f>
        <x:v>519750</x:v>
      </x:c>
      <x:c r="K8" t="n">
        <x:f>YEAR(DATE(2026,7,18))-YEAR(F8)-IF(DATE(2026,7,18)&lt;DATE(YEAR(DATE(2026,7,18)),MONTH(F8),DAY(F8)),1,0)</x:f>
        <x:v>3</x:v>
      </x:c>
      <x:c r="L8" t="str">
        <x:f>IF(G8&gt;=600000,"High",IF(G8&gt;=450000,"Medium","Entry"))</x:f>
        <x:v>Medium</x:v>
      </x:c>
      <x:c r="N8" t="str">
        <x:v>Years of Service</x:v>
      </x:c>
      <x:c r="O8" t="str">
        <x:v>Completed years from Hire Date to 18 July 2026</x:v>
      </x:c>
      <x:c r="P8" t="n">
        <x:v>3</x:v>
      </x:c>
      <x:c r="Q8" t="str"/>
    </x:row>
    <x:row r="9">
      <x:c r="A9" t="str">
        <x:v>EMP0005</x:v>
      </x:c>
      <x:c r="B9" t="str">
        <x:v>Esther</x:v>
      </x:c>
      <x:c r="C9" t="str">
        <x:v>Ngwa</x:v>
      </x:c>
      <x:c r="D9" t="str">
        <x:v>Inventory</x:v>
      </x:c>
      <x:c r="E9" t="str">
        <x:v>Douala Central</x:v>
      </x:c>
      <x:c r="F9" s="76" t="n">
        <x:v>45022</x:v>
      </x:c>
      <x:c r="G9" s="72" t="n">
        <x:v>375000</x:v>
      </x:c>
      <x:c r="H9" s="72" t="n">
        <x:f>G9*12</x:f>
        <x:v>4500000</x:v>
      </x:c>
      <x:c r="I9" s="72" t="n">
        <x:f>G9*5.5%</x:f>
        <x:v>20625</x:v>
      </x:c>
      <x:c r="J9" s="72" t="n">
        <x:f>G9-I9</x:f>
        <x:v>354375</x:v>
      </x:c>
      <x:c r="K9" t="n">
        <x:f>YEAR(DATE(2026,7,18))-YEAR(F9)-IF(DATE(2026,7,18)&lt;DATE(YEAR(DATE(2026,7,18)),MONTH(F9),DAY(F9)),1,0)</x:f>
        <x:v>3</x:v>
      </x:c>
      <x:c r="L9" t="str">
        <x:f>IF(G9&gt;=600000,"High",IF(G9&gt;=450000,"Medium","Entry"))</x:f>
        <x:v>Entry</x:v>
      </x:c>
      <x:c r="N9" t="str">
        <x:v>Salary Band</x:v>
      </x:c>
      <x:c r="O9" t="str">
        <x:v>High, Medium, or Entry using IF</x:v>
      </x:c>
      <x:c r="P9" t="n">
        <x:v>3</x:v>
      </x:c>
      <x:c r="Q9" t="str"/>
    </x:row>
    <x:row r="10">
      <x:c r="A10" t="str">
        <x:v>EMP0006</x:v>
      </x:c>
      <x:c r="B10" t="str">
        <x:v>Frank</x:v>
      </x:c>
      <x:c r="C10" t="str">
        <x:v>Bih</x:v>
      </x:c>
      <x:c r="D10" t="str">
        <x:v>IT</x:v>
      </x:c>
      <x:c r="E10" t="str">
        <x:v>Yaounde Central</x:v>
      </x:c>
      <x:c r="F10" s="76" t="n">
        <x:v>45041</x:v>
      </x:c>
      <x:c r="G10" s="72" t="n">
        <x:v>670000</x:v>
      </x:c>
      <x:c r="H10" s="72" t="n">
        <x:f>G10*12</x:f>
        <x:v>8040000</x:v>
      </x:c>
      <x:c r="I10" s="72" t="n">
        <x:f>G10*5.5%</x:f>
        <x:v>36850</x:v>
      </x:c>
      <x:c r="J10" s="72" t="n">
        <x:f>G10-I10</x:f>
        <x:v>633150</x:v>
      </x:c>
      <x:c r="K10" t="n">
        <x:f>YEAR(DATE(2026,7,18))-YEAR(F10)-IF(DATE(2026,7,18)&lt;DATE(YEAR(DATE(2026,7,18)),MONTH(F10),DAY(F10)),1,0)</x:f>
        <x:v>3</x:v>
      </x:c>
      <x:c r="L10" t="str">
        <x:f>IF(G10&gt;=600000,"High",IF(G10&gt;=450000,"Medium","Entry"))</x:f>
        <x:v>High</x:v>
      </x:c>
    </x:row>
    <x:row r="11">
      <x:c r="A11" t="str">
        <x:v>EMP0007</x:v>
      </x:c>
      <x:c r="B11" t="str">
        <x:v>Grace</x:v>
      </x:c>
      <x:c r="C11" t="str">
        <x:v>Tambe</x:v>
      </x:c>
      <x:c r="D11" t="str">
        <x:v>Sales</x:v>
      </x:c>
      <x:c r="E11" t="str">
        <x:v>Buea Branch</x:v>
      </x:c>
      <x:c r="F11" s="76" t="n">
        <x:v>45060</x:v>
      </x:c>
      <x:c r="G11" s="72" t="n">
        <x:v>495000</x:v>
      </x:c>
      <x:c r="H11" s="72" t="n">
        <x:f>G11*12</x:f>
        <x:v>5940000</x:v>
      </x:c>
      <x:c r="I11" s="72" t="n">
        <x:f>G11*5.5%</x:f>
        <x:v>27225</x:v>
      </x:c>
      <x:c r="J11" s="72" t="n">
        <x:f>G11-I11</x:f>
        <x:v>467775</x:v>
      </x:c>
      <x:c r="K11" t="n">
        <x:f>YEAR(DATE(2026,7,18))-YEAR(F11)-IF(DATE(2026,7,18)&lt;DATE(YEAR(DATE(2026,7,18)),MONTH(F11),DAY(F11)),1,0)</x:f>
        <x:v>3</x:v>
      </x:c>
      <x:c r="L11" t="str">
        <x:f>IF(G11&gt;=600000,"High",IF(G11&gt;=450000,"Medium","Entry"))</x:f>
        <x:v>Medium</x:v>
      </x:c>
    </x:row>
    <x:row r="12">
      <x:c r="A12" t="str">
        <x:v>EMP0008</x:v>
      </x:c>
      <x:c r="B12" t="str">
        <x:v>Henry</x:v>
      </x:c>
      <x:c r="C12" t="str">
        <x:v>Asong</x:v>
      </x:c>
      <x:c r="D12" t="str">
        <x:v>Finance</x:v>
      </x:c>
      <x:c r="E12" t="str">
        <x:v>Bafoussam Branch</x:v>
      </x:c>
      <x:c r="F12" s="76" t="n">
        <x:v>45079</x:v>
      </x:c>
      <x:c r="G12" s="72" t="n">
        <x:v>650000</x:v>
      </x:c>
      <x:c r="H12" s="72" t="n">
        <x:f>G12*12</x:f>
        <x:v>7800000</x:v>
      </x:c>
      <x:c r="I12" s="72" t="n">
        <x:f>G12*5.5%</x:f>
        <x:v>35750</x:v>
      </x:c>
      <x:c r="J12" s="72" t="n">
        <x:f>G12-I12</x:f>
        <x:v>614250</x:v>
      </x:c>
      <x:c r="K12" t="n">
        <x:f>YEAR(DATE(2026,7,18))-YEAR(F12)-IF(DATE(2026,7,18)&lt;DATE(YEAR(DATE(2026,7,18)),MONTH(F12),DAY(F12)),1,0)</x:f>
        <x:v>3</x:v>
      </x:c>
      <x:c r="L12" t="str">
        <x:f>IF(G12&gt;=600000,"High",IF(G12&gt;=450000,"Medium","Entry"))</x:f>
        <x:v>High</x:v>
      </x:c>
    </x:row>
    <x:row r="13">
      <x:c r="A13" t="str">
        <x:v>EMP0009</x:v>
      </x:c>
      <x:c r="B13" t="str">
        <x:v>Irene</x:v>
      </x:c>
      <x:c r="C13" t="str">
        <x:v>Ewane</x:v>
      </x:c>
      <x:c r="D13" t="str">
        <x:v>Human Resources</x:v>
      </x:c>
      <x:c r="E13" t="str">
        <x:v>Douala Central</x:v>
      </x:c>
      <x:c r="F13" s="76" t="n">
        <x:v>45098</x:v>
      </x:c>
      <x:c r="G13" s="72" t="n">
        <x:v>545000</x:v>
      </x:c>
      <x:c r="H13" s="72" t="n">
        <x:f>G13*12</x:f>
        <x:v>6540000</x:v>
      </x:c>
      <x:c r="I13" s="72" t="n">
        <x:f>G13*5.5%</x:f>
        <x:v>29975</x:v>
      </x:c>
      <x:c r="J13" s="72" t="n">
        <x:f>G13-I13</x:f>
        <x:v>515025</x:v>
      </x:c>
      <x:c r="K13" t="n">
        <x:f>YEAR(DATE(2026,7,18))-YEAR(F13)-IF(DATE(2026,7,18)&lt;DATE(YEAR(DATE(2026,7,18)),MONTH(F13),DAY(F13)),1,0)</x:f>
        <x:v>3</x:v>
      </x:c>
      <x:c r="L13" t="str">
        <x:f>IF(G13&gt;=600000,"High",IF(G13&gt;=450000,"Medium","Entry"))</x:f>
        <x:v>Medium</x:v>
      </x:c>
    </x:row>
    <x:row r="14">
      <x:c r="A14" t="str">
        <x:v>EMP0010</x:v>
      </x:c>
      <x:c r="B14" t="str">
        <x:v>Joel</x:v>
      </x:c>
      <x:c r="C14" t="str">
        <x:v>Talla</x:v>
      </x:c>
      <x:c r="D14" t="str">
        <x:v>Marketing</x:v>
      </x:c>
      <x:c r="E14" t="str">
        <x:v>Yaounde Central</x:v>
      </x:c>
      <x:c r="F14" s="76" t="n">
        <x:v>45117</x:v>
      </x:c>
      <x:c r="G14" s="72" t="n">
        <x:v>600000</x:v>
      </x:c>
      <x:c r="H14" s="72" t="n">
        <x:f>G14*12</x:f>
        <x:v>7200000</x:v>
      </x:c>
      <x:c r="I14" s="72" t="n">
        <x:f>G14*5.5%</x:f>
        <x:v>33000</x:v>
      </x:c>
      <x:c r="J14" s="72" t="n">
        <x:f>G14-I14</x:f>
        <x:v>567000</x:v>
      </x:c>
      <x:c r="K14" t="n">
        <x:f>YEAR(DATE(2026,7,18))-YEAR(F14)-IF(DATE(2026,7,18)&lt;DATE(YEAR(DATE(2026,7,18)),MONTH(F14),DAY(F14)),1,0)</x:f>
        <x:v>3</x:v>
      </x:c>
      <x:c r="L14" t="str">
        <x:f>IF(G14&gt;=600000,"High",IF(G14&gt;=450000,"Medium","Entry"))</x:f>
        <x:v>High</x:v>
      </x:c>
    </x:row>
    <x:row r="15">
      <x:c r="A15" t="str">
        <x:v>EMP0011</x:v>
      </x:c>
      <x:c r="B15" t="str">
        <x:v>Kevin</x:v>
      </x:c>
      <x:c r="C15" t="str">
        <x:v>Ngwa</x:v>
      </x:c>
      <x:c r="D15" t="str">
        <x:v>Inventory</x:v>
      </x:c>
      <x:c r="E15" t="str">
        <x:v>Buea Branch</x:v>
      </x:c>
      <x:c r="F15" s="76" t="n">
        <x:v>45136</x:v>
      </x:c>
      <x:c r="G15" s="72" t="n">
        <x:v>425000</x:v>
      </x:c>
      <x:c r="H15" s="72" t="n">
        <x:f>G15*12</x:f>
        <x:v>5100000</x:v>
      </x:c>
      <x:c r="I15" s="72" t="n">
        <x:f>G15*5.5%</x:f>
        <x:v>23375</x:v>
      </x:c>
      <x:c r="J15" s="72" t="n">
        <x:f>G15-I15</x:f>
        <x:v>401625</x:v>
      </x:c>
      <x:c r="K15" t="n">
        <x:f>YEAR(DATE(2026,7,18))-YEAR(F15)-IF(DATE(2026,7,18)&lt;DATE(YEAR(DATE(2026,7,18)),MONTH(F15),DAY(F15)),1,0)</x:f>
        <x:v>2</x:v>
      </x:c>
      <x:c r="L15" t="str">
        <x:f>IF(G15&gt;=600000,"High",IF(G15&gt;=450000,"Medium","Entry"))</x:f>
        <x:v>Entry</x:v>
      </x:c>
    </x:row>
    <x:row r="16">
      <x:c r="A16" t="str">
        <x:v>EMP0012</x:v>
      </x:c>
      <x:c r="B16" t="str">
        <x:v>Linda</x:v>
      </x:c>
      <x:c r="C16" t="str">
        <x:v>Bih</x:v>
      </x:c>
      <x:c r="D16" t="str">
        <x:v>IT</x:v>
      </x:c>
      <x:c r="E16" t="str">
        <x:v>Bafoussam Branch</x:v>
      </x:c>
      <x:c r="F16" s="76" t="n">
        <x:v>45155</x:v>
      </x:c>
      <x:c r="G16" s="72" t="n">
        <x:v>620000</x:v>
      </x:c>
      <x:c r="H16" s="72" t="n">
        <x:f>G16*12</x:f>
        <x:v>7440000</x:v>
      </x:c>
      <x:c r="I16" s="72" t="n">
        <x:f>G16*5.5%</x:f>
        <x:v>34100</x:v>
      </x:c>
      <x:c r="J16" s="72" t="n">
        <x:f>G16-I16</x:f>
        <x:v>585900</x:v>
      </x:c>
      <x:c r="K16" t="n">
        <x:f>YEAR(DATE(2026,7,18))-YEAR(F16)-IF(DATE(2026,7,18)&lt;DATE(YEAR(DATE(2026,7,18)),MONTH(F16),DAY(F16)),1,0)</x:f>
        <x:v>2</x:v>
      </x:c>
      <x:c r="L16" t="str">
        <x:f>IF(G16&gt;=600000,"High",IF(G16&gt;=450000,"Medium","Entry"))</x:f>
        <x:v>High</x:v>
      </x:c>
    </x:row>
    <x:row r="17">
      <x:c r="A17" t="str">
        <x:v>EMP0013</x:v>
      </x:c>
      <x:c r="B17" t="str">
        <x:v>Aline</x:v>
      </x:c>
      <x:c r="C17" t="str">
        <x:v>Tambe</x:v>
      </x:c>
      <x:c r="D17" t="str">
        <x:v>Sales</x:v>
      </x:c>
      <x:c r="E17" t="str">
        <x:v>Douala Central</x:v>
      </x:c>
      <x:c r="F17" s="76" t="n">
        <x:v>45174</x:v>
      </x:c>
      <x:c r="G17" s="72" t="n">
        <x:v>445000</x:v>
      </x:c>
      <x:c r="H17" s="72" t="n">
        <x:f>G17*12</x:f>
        <x:v>5340000</x:v>
      </x:c>
      <x:c r="I17" s="72" t="n">
        <x:f>G17*5.5%</x:f>
        <x:v>24475</x:v>
      </x:c>
      <x:c r="J17" s="72" t="n">
        <x:f>G17-I17</x:f>
        <x:v>420525</x:v>
      </x:c>
      <x:c r="K17" t="n">
        <x:f>YEAR(DATE(2026,7,18))-YEAR(F17)-IF(DATE(2026,7,18)&lt;DATE(YEAR(DATE(2026,7,18)),MONTH(F17),DAY(F17)),1,0)</x:f>
        <x:v>2</x:v>
      </x:c>
      <x:c r="L17" t="str">
        <x:f>IF(G17&gt;=600000,"High",IF(G17&gt;=450000,"Medium","Entry"))</x:f>
        <x:v>Entry</x:v>
      </x:c>
    </x:row>
    <x:row r="18">
      <x:c r="A18" t="str">
        <x:v>EMP0014</x:v>
      </x:c>
      <x:c r="B18" t="str">
        <x:v>Boris</x:v>
      </x:c>
      <x:c r="C18" t="str">
        <x:v>Asong</x:v>
      </x:c>
      <x:c r="D18" t="str">
        <x:v>Finance</x:v>
      </x:c>
      <x:c r="E18" t="str">
        <x:v>Yaounde Central</x:v>
      </x:c>
      <x:c r="F18" s="76" t="n">
        <x:v>45193</x:v>
      </x:c>
      <x:c r="G18" s="72" t="n">
        <x:v>700000</x:v>
      </x:c>
      <x:c r="H18" s="72" t="n">
        <x:f>G18*12</x:f>
        <x:v>8400000</x:v>
      </x:c>
      <x:c r="I18" s="72" t="n">
        <x:f>G18*5.5%</x:f>
        <x:v>38500</x:v>
      </x:c>
      <x:c r="J18" s="72" t="n">
        <x:f>G18-I18</x:f>
        <x:v>661500</x:v>
      </x:c>
      <x:c r="K18" t="n">
        <x:f>YEAR(DATE(2026,7,18))-YEAR(F18)-IF(DATE(2026,7,18)&lt;DATE(YEAR(DATE(2026,7,18)),MONTH(F18),DAY(F18)),1,0)</x:f>
        <x:v>2</x:v>
      </x:c>
      <x:c r="L18" t="str">
        <x:f>IF(G18&gt;=600000,"High",IF(G18&gt;=450000,"Medium","Entry"))</x:f>
        <x:v>High</x:v>
      </x:c>
    </x:row>
    <x:row r="19">
      <x:c r="A19" t="str">
        <x:v>EMP0015</x:v>
      </x:c>
      <x:c r="B19" t="str">
        <x:v>Claudine</x:v>
      </x:c>
      <x:c r="C19" t="str">
        <x:v>Ewane</x:v>
      </x:c>
      <x:c r="D19" t="str">
        <x:v>Human Resources</x:v>
      </x:c>
      <x:c r="E19" t="str">
        <x:v>Buea Branch</x:v>
      </x:c>
      <x:c r="F19" s="76" t="n">
        <x:v>45212</x:v>
      </x:c>
      <x:c r="G19" s="72" t="n">
        <x:v>595000</x:v>
      </x:c>
      <x:c r="H19" s="72" t="n">
        <x:f>G19*12</x:f>
        <x:v>7140000</x:v>
      </x:c>
      <x:c r="I19" s="72" t="n">
        <x:f>G19*5.5%</x:f>
        <x:v>32725</x:v>
      </x:c>
      <x:c r="J19" s="72" t="n">
        <x:f>G19-I19</x:f>
        <x:v>562275</x:v>
      </x:c>
      <x:c r="K19" t="n">
        <x:f>YEAR(DATE(2026,7,18))-YEAR(F19)-IF(DATE(2026,7,18)&lt;DATE(YEAR(DATE(2026,7,18)),MONTH(F19),DAY(F19)),1,0)</x:f>
        <x:v>2</x:v>
      </x:c>
      <x:c r="L19" t="str">
        <x:f>IF(G19&gt;=600000,"High",IF(G19&gt;=450000,"Medium","Entry"))</x:f>
        <x:v>Medium</x:v>
      </x:c>
    </x:row>
    <x:row r="20">
      <x:c r="A20" t="str">
        <x:v>EMP0016</x:v>
      </x:c>
      <x:c r="B20" t="str">
        <x:v>David</x:v>
      </x:c>
      <x:c r="C20" t="str">
        <x:v>Talla</x:v>
      </x:c>
      <x:c r="D20" t="str">
        <x:v>Marketing</x:v>
      </x:c>
      <x:c r="E20" t="str">
        <x:v>Bafoussam Branch</x:v>
      </x:c>
      <x:c r="F20" s="76" t="n">
        <x:v>45231</x:v>
      </x:c>
      <x:c r="G20" s="72" t="n">
        <x:v>550000</x:v>
      </x:c>
      <x:c r="H20" s="72" t="n">
        <x:f>G20*12</x:f>
        <x:v>6600000</x:v>
      </x:c>
      <x:c r="I20" s="72" t="n">
        <x:f>G20*5.5%</x:f>
        <x:v>30250</x:v>
      </x:c>
      <x:c r="J20" s="72" t="n">
        <x:f>G20-I20</x:f>
        <x:v>519750</x:v>
      </x:c>
      <x:c r="K20" t="n">
        <x:f>YEAR(DATE(2026,7,18))-YEAR(F20)-IF(DATE(2026,7,18)&lt;DATE(YEAR(DATE(2026,7,18)),MONTH(F20),DAY(F20)),1,0)</x:f>
        <x:v>2</x:v>
      </x:c>
      <x:c r="L20" t="str">
        <x:f>IF(G20&gt;=600000,"High",IF(G20&gt;=450000,"Medium","Entry"))</x:f>
        <x:v>Medium</x:v>
      </x:c>
    </x:row>
    <x:row r="21">
      <x:c r="A21" t="str">
        <x:v>EMP0017</x:v>
      </x:c>
      <x:c r="B21" t="str">
        <x:v>Esther</x:v>
      </x:c>
      <x:c r="C21" t="str">
        <x:v>Ngwa</x:v>
      </x:c>
      <x:c r="D21" t="str">
        <x:v>Inventory</x:v>
      </x:c>
      <x:c r="E21" t="str">
        <x:v>Douala Central</x:v>
      </x:c>
      <x:c r="F21" s="76" t="n">
        <x:v>45250</x:v>
      </x:c>
      <x:c r="G21" s="72" t="n">
        <x:v>375000</x:v>
      </x:c>
      <x:c r="H21" s="72" t="n">
        <x:f>G21*12</x:f>
        <x:v>4500000</x:v>
      </x:c>
      <x:c r="I21" s="72" t="n">
        <x:f>G21*5.5%</x:f>
        <x:v>20625</x:v>
      </x:c>
      <x:c r="J21" s="72" t="n">
        <x:f>G21-I21</x:f>
        <x:v>354375</x:v>
      </x:c>
      <x:c r="K21" t="n">
        <x:f>YEAR(DATE(2026,7,18))-YEAR(F21)-IF(DATE(2026,7,18)&lt;DATE(YEAR(DATE(2026,7,18)),MONTH(F21),DAY(F21)),1,0)</x:f>
        <x:v>2</x:v>
      </x:c>
      <x:c r="L21" t="str">
        <x:f>IF(G21&gt;=600000,"High",IF(G21&gt;=450000,"Medium","Entry"))</x:f>
        <x:v>Entry</x:v>
      </x:c>
    </x:row>
    <x:row r="22">
      <x:c r="A22" t="str">
        <x:v>EMP0018</x:v>
      </x:c>
      <x:c r="B22" t="str">
        <x:v>Frank</x:v>
      </x:c>
      <x:c r="C22" t="str">
        <x:v>Bih</x:v>
      </x:c>
      <x:c r="D22" t="str">
        <x:v>IT</x:v>
      </x:c>
      <x:c r="E22" t="str">
        <x:v>Yaounde Central</x:v>
      </x:c>
      <x:c r="F22" s="76" t="n">
        <x:v>45269</x:v>
      </x:c>
      <x:c r="G22" s="72" t="n">
        <x:v>670000</x:v>
      </x:c>
      <x:c r="H22" s="72" t="n">
        <x:f>G22*12</x:f>
        <x:v>8040000</x:v>
      </x:c>
      <x:c r="I22" s="72" t="n">
        <x:f>G22*5.5%</x:f>
        <x:v>36850</x:v>
      </x:c>
      <x:c r="J22" s="72" t="n">
        <x:f>G22-I22</x:f>
        <x:v>633150</x:v>
      </x:c>
      <x:c r="K22" t="n">
        <x:f>YEAR(DATE(2026,7,18))-YEAR(F22)-IF(DATE(2026,7,18)&lt;DATE(YEAR(DATE(2026,7,18)),MONTH(F22),DAY(F22)),1,0)</x:f>
        <x:v>2</x:v>
      </x:c>
      <x:c r="L22" t="str">
        <x:f>IF(G22&gt;=600000,"High",IF(G22&gt;=450000,"Medium","Entry"))</x:f>
        <x:v>High</x:v>
      </x:c>
    </x:row>
    <x:row r="23">
      <x:c r="A23" t="str">
        <x:v>EMP0019</x:v>
      </x:c>
      <x:c r="B23" t="str">
        <x:v>Grace</x:v>
      </x:c>
      <x:c r="C23" t="str">
        <x:v>Tambe</x:v>
      </x:c>
      <x:c r="D23" t="str">
        <x:v>Sales</x:v>
      </x:c>
      <x:c r="E23" t="str">
        <x:v>Buea Branch</x:v>
      </x:c>
      <x:c r="F23" s="76" t="n">
        <x:v>45288</x:v>
      </x:c>
      <x:c r="G23" s="72" t="n">
        <x:v>495000</x:v>
      </x:c>
      <x:c r="H23" s="72" t="n">
        <x:f>G23*12</x:f>
        <x:v>5940000</x:v>
      </x:c>
      <x:c r="I23" s="72" t="n">
        <x:f>G23*5.5%</x:f>
        <x:v>27225</x:v>
      </x:c>
      <x:c r="J23" s="72" t="n">
        <x:f>G23-I23</x:f>
        <x:v>467775</x:v>
      </x:c>
      <x:c r="K23" t="n">
        <x:f>YEAR(DATE(2026,7,18))-YEAR(F23)-IF(DATE(2026,7,18)&lt;DATE(YEAR(DATE(2026,7,18)),MONTH(F23),DAY(F23)),1,0)</x:f>
        <x:v>2</x:v>
      </x:c>
      <x:c r="L23" t="str">
        <x:f>IF(G23&gt;=600000,"High",IF(G23&gt;=450000,"Medium","Entry"))</x:f>
        <x:v>Medium</x:v>
      </x:c>
    </x:row>
    <x:row r="24">
      <x:c r="A24" t="str">
        <x:v>EMP0020</x:v>
      </x:c>
      <x:c r="B24" t="str">
        <x:v>Henry</x:v>
      </x:c>
      <x:c r="C24" t="str">
        <x:v>Asong</x:v>
      </x:c>
      <x:c r="D24" t="str">
        <x:v>Finance</x:v>
      </x:c>
      <x:c r="E24" t="str">
        <x:v>Bafoussam Branch</x:v>
      </x:c>
      <x:c r="F24" s="76" t="n">
        <x:v>45307</x:v>
      </x:c>
      <x:c r="G24" s="72" t="n">
        <x:v>650000</x:v>
      </x:c>
      <x:c r="H24" s="72" t="n">
        <x:f>G24*12</x:f>
        <x:v>7800000</x:v>
      </x:c>
      <x:c r="I24" s="72" t="n">
        <x:f>G24*5.5%</x:f>
        <x:v>35750</x:v>
      </x:c>
      <x:c r="J24" s="72" t="n">
        <x:f>G24-I24</x:f>
        <x:v>614250</x:v>
      </x:c>
      <x:c r="K24" t="n">
        <x:f>YEAR(DATE(2026,7,18))-YEAR(F24)-IF(DATE(2026,7,18)&lt;DATE(YEAR(DATE(2026,7,18)),MONTH(F24),DAY(F24)),1,0)</x:f>
        <x:v>2</x:v>
      </x:c>
      <x:c r="L24" t="str">
        <x:f>IF(G24&gt;=600000,"High",IF(G24&gt;=450000,"Medium","Entry"))</x:f>
        <x:v>High</x:v>
      </x:c>
    </x:row>
    <x:row r="25">
      <x:c r="A25" t="str">
        <x:v>EMP0021</x:v>
      </x:c>
      <x:c r="B25" t="str">
        <x:v>Irene</x:v>
      </x:c>
      <x:c r="C25" t="str">
        <x:v>Ewane</x:v>
      </x:c>
      <x:c r="D25" t="str">
        <x:v>Human Resources</x:v>
      </x:c>
      <x:c r="E25" t="str">
        <x:v>Douala Central</x:v>
      </x:c>
      <x:c r="F25" s="76" t="n">
        <x:v>45326</x:v>
      </x:c>
      <x:c r="G25" s="72" t="n">
        <x:v>545000</x:v>
      </x:c>
      <x:c r="H25" s="72" t="n">
        <x:f>G25*12</x:f>
        <x:v>6540000</x:v>
      </x:c>
      <x:c r="I25" s="72" t="n">
        <x:f>G25*5.5%</x:f>
        <x:v>29975</x:v>
      </x:c>
      <x:c r="J25" s="72" t="n">
        <x:f>G25-I25</x:f>
        <x:v>515025</x:v>
      </x:c>
      <x:c r="K25" t="n">
        <x:f>YEAR(DATE(2026,7,18))-YEAR(F25)-IF(DATE(2026,7,18)&lt;DATE(YEAR(DATE(2026,7,18)),MONTH(F25),DAY(F25)),1,0)</x:f>
        <x:v>2</x:v>
      </x:c>
      <x:c r="L25" t="str">
        <x:f>IF(G25&gt;=600000,"High",IF(G25&gt;=450000,"Medium","Entry"))</x:f>
        <x:v>Medium</x:v>
      </x:c>
    </x:row>
    <x:row r="26">
      <x:c r="A26" t="str">
        <x:v>EMP0022</x:v>
      </x:c>
      <x:c r="B26" t="str">
        <x:v>Joel</x:v>
      </x:c>
      <x:c r="C26" t="str">
        <x:v>Talla</x:v>
      </x:c>
      <x:c r="D26" t="str">
        <x:v>Marketing</x:v>
      </x:c>
      <x:c r="E26" t="str">
        <x:v>Yaounde Central</x:v>
      </x:c>
      <x:c r="F26" s="76" t="n">
        <x:v>45345</x:v>
      </x:c>
      <x:c r="G26" s="72" t="n">
        <x:v>600000</x:v>
      </x:c>
      <x:c r="H26" s="72" t="n">
        <x:f>G26*12</x:f>
        <x:v>7200000</x:v>
      </x:c>
      <x:c r="I26" s="72" t="n">
        <x:f>G26*5.5%</x:f>
        <x:v>33000</x:v>
      </x:c>
      <x:c r="J26" s="72" t="n">
        <x:f>G26-I26</x:f>
        <x:v>567000</x:v>
      </x:c>
      <x:c r="K26" t="n">
        <x:f>YEAR(DATE(2026,7,18))-YEAR(F26)-IF(DATE(2026,7,18)&lt;DATE(YEAR(DATE(2026,7,18)),MONTH(F26),DAY(F26)),1,0)</x:f>
        <x:v>2</x:v>
      </x:c>
      <x:c r="L26" t="str">
        <x:f>IF(G26&gt;=600000,"High",IF(G26&gt;=450000,"Medium","Entry"))</x:f>
        <x:v>High</x:v>
      </x:c>
    </x:row>
    <x:row r="27">
      <x:c r="A27" t="str">
        <x:v>EMP0023</x:v>
      </x:c>
      <x:c r="B27" t="str">
        <x:v>Kevin</x:v>
      </x:c>
      <x:c r="C27" t="str">
        <x:v>Ngwa</x:v>
      </x:c>
      <x:c r="D27" t="str">
        <x:v>Inventory</x:v>
      </x:c>
      <x:c r="E27" t="str">
        <x:v>Buea Branch</x:v>
      </x:c>
      <x:c r="F27" s="76" t="n">
        <x:v>45364</x:v>
      </x:c>
      <x:c r="G27" s="72" t="n">
        <x:v>425000</x:v>
      </x:c>
      <x:c r="H27" s="72" t="n">
        <x:f>G27*12</x:f>
        <x:v>5100000</x:v>
      </x:c>
      <x:c r="I27" s="72" t="n">
        <x:f>G27*5.5%</x:f>
        <x:v>23375</x:v>
      </x:c>
      <x:c r="J27" s="72" t="n">
        <x:f>G27-I27</x:f>
        <x:v>401625</x:v>
      </x:c>
      <x:c r="K27" t="n">
        <x:f>YEAR(DATE(2026,7,18))-YEAR(F27)-IF(DATE(2026,7,18)&lt;DATE(YEAR(DATE(2026,7,18)),MONTH(F27),DAY(F27)),1,0)</x:f>
        <x:v>2</x:v>
      </x:c>
      <x:c r="L27" t="str">
        <x:f>IF(G27&gt;=600000,"High",IF(G27&gt;=450000,"Medium","Entry"))</x:f>
        <x:v>Entry</x:v>
      </x:c>
    </x:row>
    <x:row r="28">
      <x:c r="A28" t="str">
        <x:v>EMP0024</x:v>
      </x:c>
      <x:c r="B28" t="str">
        <x:v>Linda</x:v>
      </x:c>
      <x:c r="C28" t="str">
        <x:v>Bih</x:v>
      </x:c>
      <x:c r="D28" t="str">
        <x:v>IT</x:v>
      </x:c>
      <x:c r="E28" t="str">
        <x:v>Bafoussam Branch</x:v>
      </x:c>
      <x:c r="F28" s="76" t="n">
        <x:v>45383</x:v>
      </x:c>
      <x:c r="G28" s="72" t="n">
        <x:v>620000</x:v>
      </x:c>
      <x:c r="H28" s="72" t="n">
        <x:f>G28*12</x:f>
        <x:v>7440000</x:v>
      </x:c>
      <x:c r="I28" s="72" t="n">
        <x:f>G28*5.5%</x:f>
        <x:v>34100</x:v>
      </x:c>
      <x:c r="J28" s="72" t="n">
        <x:f>G28-I28</x:f>
        <x:v>585900</x:v>
      </x:c>
      <x:c r="K28" t="n">
        <x:f>YEAR(DATE(2026,7,18))-YEAR(F28)-IF(DATE(2026,7,18)&lt;DATE(YEAR(DATE(2026,7,18)),MONTH(F28),DAY(F28)),1,0)</x:f>
        <x:v>2</x:v>
      </x:c>
      <x:c r="L28" t="str">
        <x:f>IF(G28&gt;=600000,"High",IF(G28&gt;=450000,"Medium","Entry"))</x:f>
        <x:v>High</x:v>
      </x:c>
    </x:row>
    <x:row r="29">
      <x:c r="A29" t="str">
        <x:v>EMP0025</x:v>
      </x:c>
      <x:c r="B29" t="str">
        <x:v>Aline</x:v>
      </x:c>
      <x:c r="C29" t="str">
        <x:v>Tambe</x:v>
      </x:c>
      <x:c r="D29" t="str">
        <x:v>Sales</x:v>
      </x:c>
      <x:c r="E29" t="str">
        <x:v>Douala Central</x:v>
      </x:c>
      <x:c r="F29" s="76" t="n">
        <x:v>45402</x:v>
      </x:c>
      <x:c r="G29" s="72" t="n">
        <x:v>445000</x:v>
      </x:c>
      <x:c r="H29" s="72" t="n">
        <x:f>G29*12</x:f>
        <x:v>5340000</x:v>
      </x:c>
      <x:c r="I29" s="72" t="n">
        <x:f>G29*5.5%</x:f>
        <x:v>24475</x:v>
      </x:c>
      <x:c r="J29" s="72" t="n">
        <x:f>G29-I29</x:f>
        <x:v>420525</x:v>
      </x:c>
      <x:c r="K29" t="n">
        <x:f>YEAR(DATE(2026,7,18))-YEAR(F29)-IF(DATE(2026,7,18)&lt;DATE(YEAR(DATE(2026,7,18)),MONTH(F29),DAY(F29)),1,0)</x:f>
        <x:v>2</x:v>
      </x:c>
      <x:c r="L29" t="str">
        <x:f>IF(G29&gt;=600000,"High",IF(G29&gt;=450000,"Medium","Entry"))</x:f>
        <x:v>Entry</x:v>
      </x:c>
    </x:row>
    <x:row r="30">
      <x:c r="A30" t="str">
        <x:v>EMP0026</x:v>
      </x:c>
      <x:c r="B30" t="str">
        <x:v>Boris</x:v>
      </x:c>
      <x:c r="C30" t="str">
        <x:v>Asong</x:v>
      </x:c>
      <x:c r="D30" t="str">
        <x:v>Finance</x:v>
      </x:c>
      <x:c r="E30" t="str">
        <x:v>Yaounde Central</x:v>
      </x:c>
      <x:c r="F30" s="76" t="n">
        <x:v>45421</x:v>
      </x:c>
      <x:c r="G30" s="72" t="n">
        <x:v>700000</x:v>
      </x:c>
      <x:c r="H30" s="72" t="n">
        <x:f>G30*12</x:f>
        <x:v>8400000</x:v>
      </x:c>
      <x:c r="I30" s="72" t="n">
        <x:f>G30*5.5%</x:f>
        <x:v>38500</x:v>
      </x:c>
      <x:c r="J30" s="72" t="n">
        <x:f>G30-I30</x:f>
        <x:v>661500</x:v>
      </x:c>
      <x:c r="K30" t="n">
        <x:f>YEAR(DATE(2026,7,18))-YEAR(F30)-IF(DATE(2026,7,18)&lt;DATE(YEAR(DATE(2026,7,18)),MONTH(F30),DAY(F30)),1,0)</x:f>
        <x:v>2</x:v>
      </x:c>
      <x:c r="L30" t="str">
        <x:f>IF(G30&gt;=600000,"High",IF(G30&gt;=450000,"Medium","Entry"))</x:f>
        <x:v>High</x:v>
      </x:c>
    </x:row>
    <x:row r="31">
      <x:c r="A31" t="str">
        <x:v>EMP0027</x:v>
      </x:c>
      <x:c r="B31" t="str">
        <x:v>Claudine</x:v>
      </x:c>
      <x:c r="C31" t="str">
        <x:v>Ewane</x:v>
      </x:c>
      <x:c r="D31" t="str">
        <x:v>Human Resources</x:v>
      </x:c>
      <x:c r="E31" t="str">
        <x:v>Buea Branch</x:v>
      </x:c>
      <x:c r="F31" s="76" t="n">
        <x:v>45440</x:v>
      </x:c>
      <x:c r="G31" s="72" t="n">
        <x:v>595000</x:v>
      </x:c>
      <x:c r="H31" s="72" t="n">
        <x:f>G31*12</x:f>
        <x:v>7140000</x:v>
      </x:c>
      <x:c r="I31" s="72" t="n">
        <x:f>G31*5.5%</x:f>
        <x:v>32725</x:v>
      </x:c>
      <x:c r="J31" s="72" t="n">
        <x:f>G31-I31</x:f>
        <x:v>562275</x:v>
      </x:c>
      <x:c r="K31" t="n">
        <x:f>YEAR(DATE(2026,7,18))-YEAR(F31)-IF(DATE(2026,7,18)&lt;DATE(YEAR(DATE(2026,7,18)),MONTH(F31),DAY(F31)),1,0)</x:f>
        <x:v>2</x:v>
      </x:c>
      <x:c r="L31" t="str">
        <x:f>IF(G31&gt;=600000,"High",IF(G31&gt;=450000,"Medium","Entry"))</x:f>
        <x:v>Medium</x:v>
      </x:c>
    </x:row>
    <x:row r="32">
      <x:c r="A32" t="str">
        <x:v>EMP0028</x:v>
      </x:c>
      <x:c r="B32" t="str">
        <x:v>David</x:v>
      </x:c>
      <x:c r="C32" t="str">
        <x:v>Talla</x:v>
      </x:c>
      <x:c r="D32" t="str">
        <x:v>Marketing</x:v>
      </x:c>
      <x:c r="E32" t="str">
        <x:v>Bafoussam Branch</x:v>
      </x:c>
      <x:c r="F32" s="76" t="n">
        <x:v>45459</x:v>
      </x:c>
      <x:c r="G32" s="72" t="n">
        <x:v>550000</x:v>
      </x:c>
      <x:c r="H32" s="72" t="n">
        <x:f>G32*12</x:f>
        <x:v>6600000</x:v>
      </x:c>
      <x:c r="I32" s="72" t="n">
        <x:f>G32*5.5%</x:f>
        <x:v>30250</x:v>
      </x:c>
      <x:c r="J32" s="72" t="n">
        <x:f>G32-I32</x:f>
        <x:v>519750</x:v>
      </x:c>
      <x:c r="K32" t="n">
        <x:f>YEAR(DATE(2026,7,18))-YEAR(F32)-IF(DATE(2026,7,18)&lt;DATE(YEAR(DATE(2026,7,18)),MONTH(F32),DAY(F32)),1,0)</x:f>
        <x:v>2</x:v>
      </x:c>
      <x:c r="L32" t="str">
        <x:f>IF(G32&gt;=600000,"High",IF(G32&gt;=450000,"Medium","Entry"))</x:f>
        <x:v>Medium</x:v>
      </x:c>
    </x:row>
    <x:row r="33">
      <x:c r="A33" t="str">
        <x:v>EMP0029</x:v>
      </x:c>
      <x:c r="B33" t="str">
        <x:v>Esther</x:v>
      </x:c>
      <x:c r="C33" t="str">
        <x:v>Ngwa</x:v>
      </x:c>
      <x:c r="D33" t="str">
        <x:v>Inventory</x:v>
      </x:c>
      <x:c r="E33" t="str">
        <x:v>Douala Central</x:v>
      </x:c>
      <x:c r="F33" s="76" t="n">
        <x:v>45478</x:v>
      </x:c>
      <x:c r="G33" s="72" t="n">
        <x:v>375000</x:v>
      </x:c>
      <x:c r="H33" s="72" t="n">
        <x:f>G33*12</x:f>
        <x:v>4500000</x:v>
      </x:c>
      <x:c r="I33" s="72" t="n">
        <x:f>G33*5.5%</x:f>
        <x:v>20625</x:v>
      </x:c>
      <x:c r="J33" s="72" t="n">
        <x:f>G33-I33</x:f>
        <x:v>354375</x:v>
      </x:c>
      <x:c r="K33" t="n">
        <x:f>YEAR(DATE(2026,7,18))-YEAR(F33)-IF(DATE(2026,7,18)&lt;DATE(YEAR(DATE(2026,7,18)),MONTH(F33),DAY(F33)),1,0)</x:f>
        <x:v>2</x:v>
      </x:c>
      <x:c r="L33" t="str">
        <x:f>IF(G33&gt;=600000,"High",IF(G33&gt;=450000,"Medium","Entry"))</x:f>
        <x:v>Entry</x:v>
      </x:c>
    </x:row>
    <x:row r="34">
      <x:c r="A34" t="str">
        <x:v>EMP0030</x:v>
      </x:c>
      <x:c r="B34" t="str">
        <x:v>Frank</x:v>
      </x:c>
      <x:c r="C34" t="str">
        <x:v>Bih</x:v>
      </x:c>
      <x:c r="D34" t="str">
        <x:v>IT</x:v>
      </x:c>
      <x:c r="E34" t="str">
        <x:v>Yaounde Central</x:v>
      </x:c>
      <x:c r="F34" s="76" t="n">
        <x:v>45497</x:v>
      </x:c>
      <x:c r="G34" s="72" t="n">
        <x:v>670000</x:v>
      </x:c>
      <x:c r="H34" s="72" t="n">
        <x:f>G34*12</x:f>
        <x:v>8040000</x:v>
      </x:c>
      <x:c r="I34" s="72" t="n">
        <x:f>G34*5.5%</x:f>
        <x:v>36850</x:v>
      </x:c>
      <x:c r="J34" s="72" t="n">
        <x:f>G34-I34</x:f>
        <x:v>633150</x:v>
      </x:c>
      <x:c r="K34" t="n">
        <x:f>YEAR(DATE(2026,7,18))-YEAR(F34)-IF(DATE(2026,7,18)&lt;DATE(YEAR(DATE(2026,7,18)),MONTH(F34),DAY(F34)),1,0)</x:f>
        <x:v>1</x:v>
      </x:c>
      <x:c r="L34" t="str">
        <x:f>IF(G34&gt;=600000,"High",IF(G34&gt;=450000,"Medium","Entry"))</x:f>
        <x:v>High</x:v>
      </x:c>
    </x:row>
  </x:sheetData>
  <x:mergeCells>
    <x:mergeCell ref="A1:L2"/>
  </x:mergeCells>
  <x:dataValidations count="2">
    <x:dataValidation type="list" sqref="L5:L34">
      <x:formula1>"High,Medium,Entry"</x:formula1>
    </x:dataValidation>
    <x:dataValidation type="list" sqref="Q5:Q9">
      <x:formula1>"Not Checked,Correct,Needs Correction"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55b2ae17af4c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6" hidden="0" customWidth="1"/>
    <x:col min="12" max="12" width="10" hidden="0" customWidth="1"/>
    <x:col min="13" max="13" width="42" hidden="0" customWidth="1"/>
    <x:col min="14" max="14" width="8" hidden="0" customWidth="1"/>
    <x:col min="15" max="15" width="16" hidden="0" customWidth="1"/>
  </x:cols>
  <x:sheetData>
    <x:row r="1" ht="30" customHeight="1">
      <x:c r="A1" s="5" t="str">
        <x:v>Lab 3 — Sorting, Filtering, and Conditional Formatting</x:v>
      </x:c>
    </x:row>
    <x:row r="4">
      <x:c r="A4" s="53" t="str">
        <x:v>Order ID</x:v>
      </x:c>
      <x:c r="B4" s="54" t="str">
        <x:v>Order Date</x:v>
      </x:c>
      <x:c r="C4" s="54" t="str">
        <x:v>Branch</x:v>
      </x:c>
      <x:c r="D4" s="54" t="str">
        <x:v>Product ID</x:v>
      </x:c>
      <x:c r="E4" s="54" t="str">
        <x:v>Quantity</x:v>
      </x:c>
      <x:c r="F4" s="54" t="str">
        <x:v>Unit Price</x:v>
      </x:c>
      <x:c r="G4" s="54" t="str">
        <x:v>Discount</x:v>
      </x:c>
      <x:c r="H4" s="54" t="str">
        <x:v>Sales Total</x:v>
      </x:c>
      <x:c r="I4" s="54" t="str">
        <x:v>Channel</x:v>
      </x:c>
      <x:c r="J4" s="55" t="str">
        <x:v>Payment Status</x:v>
      </x:c>
      <x:c r="L4" s="53" t="str">
        <x:v>Task</x:v>
      </x:c>
      <x:c r="M4" s="54" t="str">
        <x:v>Instruction</x:v>
      </x:c>
      <x:c r="N4" s="54" t="str">
        <x:v>Marks</x:v>
      </x:c>
      <x:c r="O4" s="55" t="str">
        <x:v>Status</x:v>
      </x:c>
    </x:row>
    <x:row r="5">
      <x:c r="A5" t="str">
        <x:v>SO00001</x:v>
      </x:c>
      <x:c r="B5" s="76" t="n">
        <x:v>46024</x:v>
      </x:c>
      <x:c r="C5" t="str">
        <x:v>Douala Central</x:v>
      </x:c>
      <x:c r="D5" t="str">
        <x:v>PRD001</x:v>
      </x:c>
      <x:c r="E5" t="n">
        <x:v>2</x:v>
      </x:c>
      <x:c r="F5" s="72" t="n">
        <x:v>1950</x:v>
      </x:c>
      <x:c r="G5" s="72" t="n">
        <x:v>0</x:v>
      </x:c>
      <x:c r="H5" s="72" t="n">
        <x:v>3900</x:v>
      </x:c>
      <x:c r="I5" t="str">
        <x:v>Online</x:v>
      </x:c>
      <x:c r="J5" t="str">
        <x:v>Paid</x:v>
      </x:c>
      <x:c r="L5" t="n">
        <x:v>1</x:v>
      </x:c>
      <x:c r="M5" t="str">
        <x:v>Sort Sales Total from highest to lowest.</x:v>
      </x:c>
      <x:c r="N5" t="n">
        <x:v>3</x:v>
      </x:c>
      <x:c r="O5" t="str">
        <x:v>Not Started</x:v>
      </x:c>
    </x:row>
    <x:row r="6">
      <x:c r="A6" t="str">
        <x:v>SO00002</x:v>
      </x:c>
      <x:c r="B6" s="76" t="n">
        <x:v>46025</x:v>
      </x:c>
      <x:c r="C6" t="str">
        <x:v>Yaounde Central</x:v>
      </x:c>
      <x:c r="D6" t="str">
        <x:v>PRD002</x:v>
      </x:c>
      <x:c r="E6" t="n">
        <x:v>3</x:v>
      </x:c>
      <x:c r="F6" s="72" t="n">
        <x:v>2600</x:v>
      </x:c>
      <x:c r="G6" s="72" t="n">
        <x:v>0</x:v>
      </x:c>
      <x:c r="H6" s="72" t="n">
        <x:v>7800</x:v>
      </x:c>
      <x:c r="I6" t="str">
        <x:v>Wholesale</x:v>
      </x:c>
      <x:c r="J6" t="str">
        <x:v>Paid</x:v>
      </x:c>
      <x:c r="L6" t="n">
        <x:v>2</x:v>
      </x:c>
      <x:c r="M6" t="str">
        <x:v>Filter to show only Douala Central sales.</x:v>
      </x:c>
      <x:c r="N6" t="n">
        <x:v>3</x:v>
      </x:c>
      <x:c r="O6" t="str">
        <x:v>Not Started</x:v>
      </x:c>
    </x:row>
    <x:row r="7">
      <x:c r="A7" t="str">
        <x:v>SO00003</x:v>
      </x:c>
      <x:c r="B7" s="76" t="n">
        <x:v>46026</x:v>
      </x:c>
      <x:c r="C7" t="str">
        <x:v>Buea Branch</x:v>
      </x:c>
      <x:c r="D7" t="str">
        <x:v>PRD003</x:v>
      </x:c>
      <x:c r="E7" t="n">
        <x:v>4</x:v>
      </x:c>
      <x:c r="F7" s="72" t="n">
        <x:v>3250</x:v>
      </x:c>
      <x:c r="G7" s="72" t="n">
        <x:v>0</x:v>
      </x:c>
      <x:c r="H7" s="72" t="n">
        <x:v>13000</x:v>
      </x:c>
      <x:c r="I7" t="str">
        <x:v>Corporate</x:v>
      </x:c>
      <x:c r="J7" t="str">
        <x:v>Paid</x:v>
      </x:c>
      <x:c r="L7" t="n">
        <x:v>3</x:v>
      </x:c>
      <x:c r="M7" t="str">
        <x:v>Filter Payment Status to show Partial payments.</x:v>
      </x:c>
      <x:c r="N7" t="n">
        <x:v>3</x:v>
      </x:c>
      <x:c r="O7" t="str">
        <x:v>Not Started</x:v>
      </x:c>
    </x:row>
    <x:row r="8">
      <x:c r="A8" t="str">
        <x:v>SO00004</x:v>
      </x:c>
      <x:c r="B8" s="76" t="n">
        <x:v>46027</x:v>
      </x:c>
      <x:c r="C8" t="str">
        <x:v>Bafoussam Branch</x:v>
      </x:c>
      <x:c r="D8" t="str">
        <x:v>PRD004</x:v>
      </x:c>
      <x:c r="E8" t="n">
        <x:v>5</x:v>
      </x:c>
      <x:c r="F8" s="72" t="n">
        <x:v>3900</x:v>
      </x:c>
      <x:c r="G8" s="72" t="n">
        <x:v>0</x:v>
      </x:c>
      <x:c r="H8" s="72" t="n">
        <x:v>19500</x:v>
      </x:c>
      <x:c r="I8" t="str">
        <x:v>Store</x:v>
      </x:c>
      <x:c r="J8" t="str">
        <x:v>Paid</x:v>
      </x:c>
      <x:c r="L8" t="n">
        <x:v>4</x:v>
      </x:c>
      <x:c r="M8" t="str">
        <x:v>Highlight Sales Total greater than 50,000 XAF.</x:v>
      </x:c>
      <x:c r="N8" t="n">
        <x:v>3</x:v>
      </x:c>
      <x:c r="O8" t="str">
        <x:v>Not Started</x:v>
      </x:c>
    </x:row>
    <x:row r="9">
      <x:c r="A9" t="str">
        <x:v>SO00005</x:v>
      </x:c>
      <x:c r="B9" s="76" t="n">
        <x:v>46028</x:v>
      </x:c>
      <x:c r="C9" t="str">
        <x:v>Douala Central</x:v>
      </x:c>
      <x:c r="D9" t="str">
        <x:v>PRD005</x:v>
      </x:c>
      <x:c r="E9" t="n">
        <x:v>1</x:v>
      </x:c>
      <x:c r="F9" s="72" t="n">
        <x:v>4550</x:v>
      </x:c>
      <x:c r="G9" s="72" t="n">
        <x:v>0</x:v>
      </x:c>
      <x:c r="H9" s="72" t="n">
        <x:v>4550</x:v>
      </x:c>
      <x:c r="I9" t="str">
        <x:v>Online</x:v>
      </x:c>
      <x:c r="J9" t="str">
        <x:v>Paid</x:v>
      </x:c>
      <x:c r="L9" t="n">
        <x:v>5</x:v>
      </x:c>
      <x:c r="M9" t="str">
        <x:v>Identify the top five orders by Sales Total.</x:v>
      </x:c>
      <x:c r="N9" t="n">
        <x:v>3</x:v>
      </x:c>
      <x:c r="O9" t="str">
        <x:v>Not Started</x:v>
      </x:c>
    </x:row>
    <x:row r="10">
      <x:c r="A10" t="str">
        <x:v>SO00006</x:v>
      </x:c>
      <x:c r="B10" s="76" t="n">
        <x:v>46029</x:v>
      </x:c>
      <x:c r="C10" t="str">
        <x:v>Yaounde Central</x:v>
      </x:c>
      <x:c r="D10" t="str">
        <x:v>PRD006</x:v>
      </x:c>
      <x:c r="E10" t="n">
        <x:v>2</x:v>
      </x:c>
      <x:c r="F10" s="72" t="n">
        <x:v>5200</x:v>
      </x:c>
      <x:c r="G10" s="72" t="n">
        <x:v>0</x:v>
      </x:c>
      <x:c r="H10" s="72" t="n">
        <x:v>10400</x:v>
      </x:c>
      <x:c r="I10" t="str">
        <x:v>Wholesale</x:v>
      </x:c>
      <x:c r="J10" t="str">
        <x:v>Paid</x:v>
      </x:c>
    </x:row>
    <x:row r="11">
      <x:c r="A11" t="str">
        <x:v>SO00007</x:v>
      </x:c>
      <x:c r="B11" s="76" t="n">
        <x:v>46030</x:v>
      </x:c>
      <x:c r="C11" t="str">
        <x:v>Buea Branch</x:v>
      </x:c>
      <x:c r="D11" t="str">
        <x:v>PRD007</x:v>
      </x:c>
      <x:c r="E11" t="n">
        <x:v>3</x:v>
      </x:c>
      <x:c r="F11" s="72" t="n">
        <x:v>5850</x:v>
      </x:c>
      <x:c r="G11" s="72" t="n">
        <x:v>0</x:v>
      </x:c>
      <x:c r="H11" s="72" t="n">
        <x:v>17550</x:v>
      </x:c>
      <x:c r="I11" t="str">
        <x:v>Corporate</x:v>
      </x:c>
      <x:c r="J11" t="str">
        <x:v>Paid</x:v>
      </x:c>
    </x:row>
    <x:row r="12">
      <x:c r="A12" t="str">
        <x:v>SO00008</x:v>
      </x:c>
      <x:c r="B12" s="76" t="n">
        <x:v>46031</x:v>
      </x:c>
      <x:c r="C12" t="str">
        <x:v>Bafoussam Branch</x:v>
      </x:c>
      <x:c r="D12" t="str">
        <x:v>PRD008</x:v>
      </x:c>
      <x:c r="E12" t="n">
        <x:v>4</x:v>
      </x:c>
      <x:c r="F12" s="72" t="n">
        <x:v>6500</x:v>
      </x:c>
      <x:c r="G12" s="72" t="n">
        <x:v>0</x:v>
      </x:c>
      <x:c r="H12" s="72" t="n">
        <x:v>26000</x:v>
      </x:c>
      <x:c r="I12" t="str">
        <x:v>Store</x:v>
      </x:c>
      <x:c r="J12" t="str">
        <x:v>Paid</x:v>
      </x:c>
    </x:row>
    <x:row r="13">
      <x:c r="A13" t="str">
        <x:v>SO00009</x:v>
      </x:c>
      <x:c r="B13" s="76" t="n">
        <x:v>46032</x:v>
      </x:c>
      <x:c r="C13" t="str">
        <x:v>Douala Central</x:v>
      </x:c>
      <x:c r="D13" t="str">
        <x:v>PRD009</x:v>
      </x:c>
      <x:c r="E13" t="n">
        <x:v>5</x:v>
      </x:c>
      <x:c r="F13" s="72" t="n">
        <x:v>7150</x:v>
      </x:c>
      <x:c r="G13" s="72" t="n">
        <x:v>0</x:v>
      </x:c>
      <x:c r="H13" s="72" t="n">
        <x:v>35750</x:v>
      </x:c>
      <x:c r="I13" t="str">
        <x:v>Online</x:v>
      </x:c>
      <x:c r="J13" t="str">
        <x:v>Paid</x:v>
      </x:c>
    </x:row>
    <x:row r="14">
      <x:c r="A14" t="str">
        <x:v>SO00010</x:v>
      </x:c>
      <x:c r="B14" s="76" t="n">
        <x:v>46033</x:v>
      </x:c>
      <x:c r="C14" t="str">
        <x:v>Yaounde Central</x:v>
      </x:c>
      <x:c r="D14" t="str">
        <x:v>PRD010</x:v>
      </x:c>
      <x:c r="E14" t="n">
        <x:v>1</x:v>
      </x:c>
      <x:c r="F14" s="72" t="n">
        <x:v>7800</x:v>
      </x:c>
      <x:c r="G14" s="72" t="n">
        <x:v>390</x:v>
      </x:c>
      <x:c r="H14" s="72" t="n">
        <x:v>7410</x:v>
      </x:c>
      <x:c r="I14" t="str">
        <x:v>Wholesale</x:v>
      </x:c>
      <x:c r="J14" t="str">
        <x:v>Paid</x:v>
      </x:c>
    </x:row>
    <x:row r="15">
      <x:c r="A15" t="str">
        <x:v>SO00011</x:v>
      </x:c>
      <x:c r="B15" s="76" t="n">
        <x:v>46034</x:v>
      </x:c>
      <x:c r="C15" t="str">
        <x:v>Buea Branch</x:v>
      </x:c>
      <x:c r="D15" t="str">
        <x:v>PRD011</x:v>
      </x:c>
      <x:c r="E15" t="n">
        <x:v>2</x:v>
      </x:c>
      <x:c r="F15" s="72" t="n">
        <x:v>8450</x:v>
      </x:c>
      <x:c r="G15" s="72" t="n">
        <x:v>0</x:v>
      </x:c>
      <x:c r="H15" s="72" t="n">
        <x:v>16900</x:v>
      </x:c>
      <x:c r="I15" t="str">
        <x:v>Corporate</x:v>
      </x:c>
      <x:c r="J15" t="str">
        <x:v>Partial</x:v>
      </x:c>
    </x:row>
    <x:row r="16">
      <x:c r="A16" t="str">
        <x:v>SO00012</x:v>
      </x:c>
      <x:c r="B16" s="76" t="n">
        <x:v>46035</x:v>
      </x:c>
      <x:c r="C16" t="str">
        <x:v>Bafoussam Branch</x:v>
      </x:c>
      <x:c r="D16" t="str">
        <x:v>PRD012</x:v>
      </x:c>
      <x:c r="E16" t="n">
        <x:v>3</x:v>
      </x:c>
      <x:c r="F16" s="72" t="n">
        <x:v>9100</x:v>
      </x:c>
      <x:c r="G16" s="72" t="n">
        <x:v>0</x:v>
      </x:c>
      <x:c r="H16" s="72" t="n">
        <x:v>27300</x:v>
      </x:c>
      <x:c r="I16" t="str">
        <x:v>Store</x:v>
      </x:c>
      <x:c r="J16" t="str">
        <x:v>Paid</x:v>
      </x:c>
    </x:row>
    <x:row r="17">
      <x:c r="A17" t="str">
        <x:v>SO00013</x:v>
      </x:c>
      <x:c r="B17" s="76" t="n">
        <x:v>46036</x:v>
      </x:c>
      <x:c r="C17" t="str">
        <x:v>Douala Central</x:v>
      </x:c>
      <x:c r="D17" t="str">
        <x:v>PRD013</x:v>
      </x:c>
      <x:c r="E17" t="n">
        <x:v>4</x:v>
      </x:c>
      <x:c r="F17" s="72" t="n">
        <x:v>9750</x:v>
      </x:c>
      <x:c r="G17" s="72" t="n">
        <x:v>0</x:v>
      </x:c>
      <x:c r="H17" s="72" t="n">
        <x:v>39000</x:v>
      </x:c>
      <x:c r="I17" t="str">
        <x:v>Online</x:v>
      </x:c>
      <x:c r="J17" t="str">
        <x:v>Paid</x:v>
      </x:c>
    </x:row>
    <x:row r="18">
      <x:c r="A18" t="str">
        <x:v>SO00014</x:v>
      </x:c>
      <x:c r="B18" s="76" t="n">
        <x:v>46037</x:v>
      </x:c>
      <x:c r="C18" t="str">
        <x:v>Yaounde Central</x:v>
      </x:c>
      <x:c r="D18" t="str">
        <x:v>PRD014</x:v>
      </x:c>
      <x:c r="E18" t="n">
        <x:v>5</x:v>
      </x:c>
      <x:c r="F18" s="72" t="n">
        <x:v>10400</x:v>
      </x:c>
      <x:c r="G18" s="72" t="n">
        <x:v>0</x:v>
      </x:c>
      <x:c r="H18" s="72" t="n">
        <x:v>52000</x:v>
      </x:c>
      <x:c r="I18" t="str">
        <x:v>Wholesale</x:v>
      </x:c>
      <x:c r="J18" t="str">
        <x:v>Paid</x:v>
      </x:c>
    </x:row>
    <x:row r="19">
      <x:c r="A19" t="str">
        <x:v>SO00015</x:v>
      </x:c>
      <x:c r="B19" s="76" t="n">
        <x:v>46038</x:v>
      </x:c>
      <x:c r="C19" t="str">
        <x:v>Buea Branch</x:v>
      </x:c>
      <x:c r="D19" t="str">
        <x:v>PRD015</x:v>
      </x:c>
      <x:c r="E19" t="n">
        <x:v>1</x:v>
      </x:c>
      <x:c r="F19" s="72" t="n">
        <x:v>11050</x:v>
      </x:c>
      <x:c r="G19" s="72" t="n">
        <x:v>0</x:v>
      </x:c>
      <x:c r="H19" s="72" t="n">
        <x:v>11050</x:v>
      </x:c>
      <x:c r="I19" t="str">
        <x:v>Corporate</x:v>
      </x:c>
      <x:c r="J19" t="str">
        <x:v>Paid</x:v>
      </x:c>
    </x:row>
    <x:row r="20">
      <x:c r="A20" t="str">
        <x:v>SO00016</x:v>
      </x:c>
      <x:c r="B20" s="76" t="n">
        <x:v>46039</x:v>
      </x:c>
      <x:c r="C20" t="str">
        <x:v>Bafoussam Branch</x:v>
      </x:c>
      <x:c r="D20" t="str">
        <x:v>PRD016</x:v>
      </x:c>
      <x:c r="E20" t="n">
        <x:v>2</x:v>
      </x:c>
      <x:c r="F20" s="72" t="n">
        <x:v>11700</x:v>
      </x:c>
      <x:c r="G20" s="72" t="n">
        <x:v>0</x:v>
      </x:c>
      <x:c r="H20" s="72" t="n">
        <x:v>23400</x:v>
      </x:c>
      <x:c r="I20" t="str">
        <x:v>Store</x:v>
      </x:c>
      <x:c r="J20" t="str">
        <x:v>Paid</x:v>
      </x:c>
    </x:row>
    <x:row r="21">
      <x:c r="A21" t="str">
        <x:v>SO00017</x:v>
      </x:c>
      <x:c r="B21" s="76" t="n">
        <x:v>46040</x:v>
      </x:c>
      <x:c r="C21" t="str">
        <x:v>Douala Central</x:v>
      </x:c>
      <x:c r="D21" t="str">
        <x:v>PRD017</x:v>
      </x:c>
      <x:c r="E21" t="n">
        <x:v>3</x:v>
      </x:c>
      <x:c r="F21" s="72" t="n">
        <x:v>12350</x:v>
      </x:c>
      <x:c r="G21" s="72" t="n">
        <x:v>0</x:v>
      </x:c>
      <x:c r="H21" s="72" t="n">
        <x:v>37050</x:v>
      </x:c>
      <x:c r="I21" t="str">
        <x:v>Online</x:v>
      </x:c>
      <x:c r="J21" t="str">
        <x:v>Paid</x:v>
      </x:c>
    </x:row>
    <x:row r="22">
      <x:c r="A22" t="str">
        <x:v>SO00018</x:v>
      </x:c>
      <x:c r="B22" s="76" t="n">
        <x:v>46041</x:v>
      </x:c>
      <x:c r="C22" t="str">
        <x:v>Yaounde Central</x:v>
      </x:c>
      <x:c r="D22" t="str">
        <x:v>PRD018</x:v>
      </x:c>
      <x:c r="E22" t="n">
        <x:v>4</x:v>
      </x:c>
      <x:c r="F22" s="72" t="n">
        <x:v>13000</x:v>
      </x:c>
      <x:c r="G22" s="72" t="n">
        <x:v>0</x:v>
      </x:c>
      <x:c r="H22" s="72" t="n">
        <x:v>52000</x:v>
      </x:c>
      <x:c r="I22" t="str">
        <x:v>Wholesale</x:v>
      </x:c>
      <x:c r="J22" t="str">
        <x:v>Paid</x:v>
      </x:c>
    </x:row>
    <x:row r="23">
      <x:c r="A23" t="str">
        <x:v>SO00019</x:v>
      </x:c>
      <x:c r="B23" s="76" t="n">
        <x:v>46042</x:v>
      </x:c>
      <x:c r="C23" t="str">
        <x:v>Buea Branch</x:v>
      </x:c>
      <x:c r="D23" t="str">
        <x:v>PRD019</x:v>
      </x:c>
      <x:c r="E23" t="n">
        <x:v>5</x:v>
      </x:c>
      <x:c r="F23" s="72" t="n">
        <x:v>13650</x:v>
      </x:c>
      <x:c r="G23" s="72" t="n">
        <x:v>0</x:v>
      </x:c>
      <x:c r="H23" s="72" t="n">
        <x:v>68250</x:v>
      </x:c>
      <x:c r="I23" t="str">
        <x:v>Corporate</x:v>
      </x:c>
      <x:c r="J23" t="str">
        <x:v>Paid</x:v>
      </x:c>
    </x:row>
    <x:row r="24">
      <x:c r="A24" t="str">
        <x:v>SO00020</x:v>
      </x:c>
      <x:c r="B24" s="76" t="n">
        <x:v>46043</x:v>
      </x:c>
      <x:c r="C24" t="str">
        <x:v>Bafoussam Branch</x:v>
      </x:c>
      <x:c r="D24" t="str">
        <x:v>PRD020</x:v>
      </x:c>
      <x:c r="E24" t="n">
        <x:v>1</x:v>
      </x:c>
      <x:c r="F24" s="72" t="n">
        <x:v>14300</x:v>
      </x:c>
      <x:c r="G24" s="72" t="n">
        <x:v>715</x:v>
      </x:c>
      <x:c r="H24" s="72" t="n">
        <x:v>13585</x:v>
      </x:c>
      <x:c r="I24" t="str">
        <x:v>Store</x:v>
      </x:c>
      <x:c r="J24" t="str">
        <x:v>Paid</x:v>
      </x:c>
    </x:row>
    <x:row r="25">
      <x:c r="A25" t="str">
        <x:v>SO00021</x:v>
      </x:c>
      <x:c r="B25" s="76" t="n">
        <x:v>46044</x:v>
      </x:c>
      <x:c r="C25" t="str">
        <x:v>Douala Central</x:v>
      </x:c>
      <x:c r="D25" t="str">
        <x:v>PRD001</x:v>
      </x:c>
      <x:c r="E25" t="n">
        <x:v>2</x:v>
      </x:c>
      <x:c r="F25" s="72" t="n">
        <x:v>1950</x:v>
      </x:c>
      <x:c r="G25" s="72" t="n">
        <x:v>0</x:v>
      </x:c>
      <x:c r="H25" s="72" t="n">
        <x:v>3900</x:v>
      </x:c>
      <x:c r="I25" t="str">
        <x:v>Online</x:v>
      </x:c>
      <x:c r="J25" t="str">
        <x:v>Paid</x:v>
      </x:c>
    </x:row>
    <x:row r="26">
      <x:c r="A26" t="str">
        <x:v>SO00022</x:v>
      </x:c>
      <x:c r="B26" s="76" t="n">
        <x:v>46045</x:v>
      </x:c>
      <x:c r="C26" t="str">
        <x:v>Yaounde Central</x:v>
      </x:c>
      <x:c r="D26" t="str">
        <x:v>PRD002</x:v>
      </x:c>
      <x:c r="E26" t="n">
        <x:v>3</x:v>
      </x:c>
      <x:c r="F26" s="72" t="n">
        <x:v>2600</x:v>
      </x:c>
      <x:c r="G26" s="72" t="n">
        <x:v>0</x:v>
      </x:c>
      <x:c r="H26" s="72" t="n">
        <x:v>7800</x:v>
      </x:c>
      <x:c r="I26" t="str">
        <x:v>Wholesale</x:v>
      </x:c>
      <x:c r="J26" t="str">
        <x:v>Partial</x:v>
      </x:c>
    </x:row>
    <x:row r="27">
      <x:c r="A27" t="str">
        <x:v>SO00023</x:v>
      </x:c>
      <x:c r="B27" s="76" t="n">
        <x:v>46046</x:v>
      </x:c>
      <x:c r="C27" t="str">
        <x:v>Buea Branch</x:v>
      </x:c>
      <x:c r="D27" t="str">
        <x:v>PRD003</x:v>
      </x:c>
      <x:c r="E27" t="n">
        <x:v>4</x:v>
      </x:c>
      <x:c r="F27" s="72" t="n">
        <x:v>3250</x:v>
      </x:c>
      <x:c r="G27" s="72" t="n">
        <x:v>0</x:v>
      </x:c>
      <x:c r="H27" s="72" t="n">
        <x:v>13000</x:v>
      </x:c>
      <x:c r="I27" t="str">
        <x:v>Corporate</x:v>
      </x:c>
      <x:c r="J27" t="str">
        <x:v>Paid</x:v>
      </x:c>
    </x:row>
    <x:row r="28">
      <x:c r="A28" t="str">
        <x:v>SO00024</x:v>
      </x:c>
      <x:c r="B28" s="76" t="n">
        <x:v>46047</x:v>
      </x:c>
      <x:c r="C28" t="str">
        <x:v>Bafoussam Branch</x:v>
      </x:c>
      <x:c r="D28" t="str">
        <x:v>PRD004</x:v>
      </x:c>
      <x:c r="E28" t="n">
        <x:v>5</x:v>
      </x:c>
      <x:c r="F28" s="72" t="n">
        <x:v>3900</x:v>
      </x:c>
      <x:c r="G28" s="72" t="n">
        <x:v>0</x:v>
      </x:c>
      <x:c r="H28" s="72" t="n">
        <x:v>19500</x:v>
      </x:c>
      <x:c r="I28" t="str">
        <x:v>Store</x:v>
      </x:c>
      <x:c r="J28" t="str">
        <x:v>Paid</x:v>
      </x:c>
    </x:row>
    <x:row r="29">
      <x:c r="A29" t="str">
        <x:v>SO00025</x:v>
      </x:c>
      <x:c r="B29" s="76" t="n">
        <x:v>46048</x:v>
      </x:c>
      <x:c r="C29" t="str">
        <x:v>Douala Central</x:v>
      </x:c>
      <x:c r="D29" t="str">
        <x:v>PRD005</x:v>
      </x:c>
      <x:c r="E29" t="n">
        <x:v>1</x:v>
      </x:c>
      <x:c r="F29" s="72" t="n">
        <x:v>4550</x:v>
      </x:c>
      <x:c r="G29" s="72" t="n">
        <x:v>0</x:v>
      </x:c>
      <x:c r="H29" s="72" t="n">
        <x:v>4550</x:v>
      </x:c>
      <x:c r="I29" t="str">
        <x:v>Online</x:v>
      </x:c>
      <x:c r="J29" t="str">
        <x:v>Paid</x:v>
      </x:c>
    </x:row>
    <x:row r="30">
      <x:c r="A30" t="str">
        <x:v>SO00026</x:v>
      </x:c>
      <x:c r="B30" s="76" t="n">
        <x:v>46049</x:v>
      </x:c>
      <x:c r="C30" t="str">
        <x:v>Yaounde Central</x:v>
      </x:c>
      <x:c r="D30" t="str">
        <x:v>PRD006</x:v>
      </x:c>
      <x:c r="E30" t="n">
        <x:v>2</x:v>
      </x:c>
      <x:c r="F30" s="72" t="n">
        <x:v>5200</x:v>
      </x:c>
      <x:c r="G30" s="72" t="n">
        <x:v>0</x:v>
      </x:c>
      <x:c r="H30" s="72" t="n">
        <x:v>10400</x:v>
      </x:c>
      <x:c r="I30" t="str">
        <x:v>Wholesale</x:v>
      </x:c>
      <x:c r="J30" t="str">
        <x:v>Paid</x:v>
      </x:c>
    </x:row>
    <x:row r="31">
      <x:c r="A31" t="str">
        <x:v>SO00027</x:v>
      </x:c>
      <x:c r="B31" s="76" t="n">
        <x:v>46050</x:v>
      </x:c>
      <x:c r="C31" t="str">
        <x:v>Buea Branch</x:v>
      </x:c>
      <x:c r="D31" t="str">
        <x:v>PRD007</x:v>
      </x:c>
      <x:c r="E31" t="n">
        <x:v>3</x:v>
      </x:c>
      <x:c r="F31" s="72" t="n">
        <x:v>5850</x:v>
      </x:c>
      <x:c r="G31" s="72" t="n">
        <x:v>0</x:v>
      </x:c>
      <x:c r="H31" s="72" t="n">
        <x:v>17550</x:v>
      </x:c>
      <x:c r="I31" t="str">
        <x:v>Corporate</x:v>
      </x:c>
      <x:c r="J31" t="str">
        <x:v>Paid</x:v>
      </x:c>
    </x:row>
    <x:row r="32">
      <x:c r="A32" t="str">
        <x:v>SO00028</x:v>
      </x:c>
      <x:c r="B32" s="76" t="n">
        <x:v>46051</x:v>
      </x:c>
      <x:c r="C32" t="str">
        <x:v>Bafoussam Branch</x:v>
      </x:c>
      <x:c r="D32" t="str">
        <x:v>PRD008</x:v>
      </x:c>
      <x:c r="E32" t="n">
        <x:v>4</x:v>
      </x:c>
      <x:c r="F32" s="72" t="n">
        <x:v>6500</x:v>
      </x:c>
      <x:c r="G32" s="72" t="n">
        <x:v>0</x:v>
      </x:c>
      <x:c r="H32" s="72" t="n">
        <x:v>26000</x:v>
      </x:c>
      <x:c r="I32" t="str">
        <x:v>Store</x:v>
      </x:c>
      <x:c r="J32" t="str">
        <x:v>Paid</x:v>
      </x:c>
    </x:row>
    <x:row r="33">
      <x:c r="A33" t="str">
        <x:v>SO00029</x:v>
      </x:c>
      <x:c r="B33" s="76" t="n">
        <x:v>46052</x:v>
      </x:c>
      <x:c r="C33" t="str">
        <x:v>Douala Central</x:v>
      </x:c>
      <x:c r="D33" t="str">
        <x:v>PRD009</x:v>
      </x:c>
      <x:c r="E33" t="n">
        <x:v>5</x:v>
      </x:c>
      <x:c r="F33" s="72" t="n">
        <x:v>7150</x:v>
      </x:c>
      <x:c r="G33" s="72" t="n">
        <x:v>0</x:v>
      </x:c>
      <x:c r="H33" s="72" t="n">
        <x:v>35750</x:v>
      </x:c>
      <x:c r="I33" t="str">
        <x:v>Online</x:v>
      </x:c>
      <x:c r="J33" t="str">
        <x:v>Paid</x:v>
      </x:c>
    </x:row>
    <x:row r="34">
      <x:c r="A34" t="str">
        <x:v>SO00030</x:v>
      </x:c>
      <x:c r="B34" s="76" t="n">
        <x:v>46053</x:v>
      </x:c>
      <x:c r="C34" t="str">
        <x:v>Yaounde Central</x:v>
      </x:c>
      <x:c r="D34" t="str">
        <x:v>PRD010</x:v>
      </x:c>
      <x:c r="E34" t="n">
        <x:v>1</x:v>
      </x:c>
      <x:c r="F34" s="72" t="n">
        <x:v>7800</x:v>
      </x:c>
      <x:c r="G34" s="72" t="n">
        <x:v>390</x:v>
      </x:c>
      <x:c r="H34" s="72" t="n">
        <x:v>7410</x:v>
      </x:c>
      <x:c r="I34" t="str">
        <x:v>Wholesale</x:v>
      </x:c>
      <x:c r="J34" t="str">
        <x:v>Paid</x:v>
      </x:c>
    </x:row>
    <x:row r="35">
      <x:c r="A35" t="str">
        <x:v>SO00031</x:v>
      </x:c>
      <x:c r="B35" s="76" t="n">
        <x:v>46054</x:v>
      </x:c>
      <x:c r="C35" t="str">
        <x:v>Buea Branch</x:v>
      </x:c>
      <x:c r="D35" t="str">
        <x:v>PRD011</x:v>
      </x:c>
      <x:c r="E35" t="n">
        <x:v>2</x:v>
      </x:c>
      <x:c r="F35" s="72" t="n">
        <x:v>8450</x:v>
      </x:c>
      <x:c r="G35" s="72" t="n">
        <x:v>0</x:v>
      </x:c>
      <x:c r="H35" s="72" t="n">
        <x:v>16900</x:v>
      </x:c>
      <x:c r="I35" t="str">
        <x:v>Corporate</x:v>
      </x:c>
      <x:c r="J35" t="str">
        <x:v>Paid</x:v>
      </x:c>
    </x:row>
    <x:row r="36">
      <x:c r="A36" t="str">
        <x:v>SO00032</x:v>
      </x:c>
      <x:c r="B36" s="76" t="n">
        <x:v>46055</x:v>
      </x:c>
      <x:c r="C36" t="str">
        <x:v>Bafoussam Branch</x:v>
      </x:c>
      <x:c r="D36" t="str">
        <x:v>PRD012</x:v>
      </x:c>
      <x:c r="E36" t="n">
        <x:v>3</x:v>
      </x:c>
      <x:c r="F36" s="72" t="n">
        <x:v>9100</x:v>
      </x:c>
      <x:c r="G36" s="72" t="n">
        <x:v>0</x:v>
      </x:c>
      <x:c r="H36" s="72" t="n">
        <x:v>27300</x:v>
      </x:c>
      <x:c r="I36" t="str">
        <x:v>Store</x:v>
      </x:c>
      <x:c r="J36" t="str">
        <x:v>Paid</x:v>
      </x:c>
    </x:row>
    <x:row r="37">
      <x:c r="A37" t="str">
        <x:v>SO00033</x:v>
      </x:c>
      <x:c r="B37" s="76" t="n">
        <x:v>46056</x:v>
      </x:c>
      <x:c r="C37" t="str">
        <x:v>Douala Central</x:v>
      </x:c>
      <x:c r="D37" t="str">
        <x:v>PRD013</x:v>
      </x:c>
      <x:c r="E37" t="n">
        <x:v>4</x:v>
      </x:c>
      <x:c r="F37" s="72" t="n">
        <x:v>9750</x:v>
      </x:c>
      <x:c r="G37" s="72" t="n">
        <x:v>0</x:v>
      </x:c>
      <x:c r="H37" s="72" t="n">
        <x:v>39000</x:v>
      </x:c>
      <x:c r="I37" t="str">
        <x:v>Online</x:v>
      </x:c>
      <x:c r="J37" t="str">
        <x:v>Partial</x:v>
      </x:c>
    </x:row>
    <x:row r="38">
      <x:c r="A38" t="str">
        <x:v>SO00034</x:v>
      </x:c>
      <x:c r="B38" s="76" t="n">
        <x:v>46057</x:v>
      </x:c>
      <x:c r="C38" t="str">
        <x:v>Yaounde Central</x:v>
      </x:c>
      <x:c r="D38" t="str">
        <x:v>PRD014</x:v>
      </x:c>
      <x:c r="E38" t="n">
        <x:v>5</x:v>
      </x:c>
      <x:c r="F38" s="72" t="n">
        <x:v>10400</x:v>
      </x:c>
      <x:c r="G38" s="72" t="n">
        <x:v>0</x:v>
      </x:c>
      <x:c r="H38" s="72" t="n">
        <x:v>52000</x:v>
      </x:c>
      <x:c r="I38" t="str">
        <x:v>Wholesale</x:v>
      </x:c>
      <x:c r="J38" t="str">
        <x:v>Paid</x:v>
      </x:c>
    </x:row>
    <x:row r="39">
      <x:c r="A39" t="str">
        <x:v>SO00035</x:v>
      </x:c>
      <x:c r="B39" s="76" t="n">
        <x:v>46058</x:v>
      </x:c>
      <x:c r="C39" t="str">
        <x:v>Buea Branch</x:v>
      </x:c>
      <x:c r="D39" t="str">
        <x:v>PRD015</x:v>
      </x:c>
      <x:c r="E39" t="n">
        <x:v>1</x:v>
      </x:c>
      <x:c r="F39" s="72" t="n">
        <x:v>11050</x:v>
      </x:c>
      <x:c r="G39" s="72" t="n">
        <x:v>0</x:v>
      </x:c>
      <x:c r="H39" s="72" t="n">
        <x:v>11050</x:v>
      </x:c>
      <x:c r="I39" t="str">
        <x:v>Corporate</x:v>
      </x:c>
      <x:c r="J39" t="str">
        <x:v>Paid</x:v>
      </x:c>
    </x:row>
    <x:row r="40">
      <x:c r="A40" t="str">
        <x:v>SO00036</x:v>
      </x:c>
      <x:c r="B40" s="76" t="n">
        <x:v>46059</x:v>
      </x:c>
      <x:c r="C40" t="str">
        <x:v>Bafoussam Branch</x:v>
      </x:c>
      <x:c r="D40" t="str">
        <x:v>PRD016</x:v>
      </x:c>
      <x:c r="E40" t="n">
        <x:v>2</x:v>
      </x:c>
      <x:c r="F40" s="72" t="n">
        <x:v>11700</x:v>
      </x:c>
      <x:c r="G40" s="72" t="n">
        <x:v>0</x:v>
      </x:c>
      <x:c r="H40" s="72" t="n">
        <x:v>23400</x:v>
      </x:c>
      <x:c r="I40" t="str">
        <x:v>Store</x:v>
      </x:c>
      <x:c r="J40" t="str">
        <x:v>Paid</x:v>
      </x:c>
    </x:row>
    <x:row r="41">
      <x:c r="A41" t="str">
        <x:v>SO00037</x:v>
      </x:c>
      <x:c r="B41" s="76" t="n">
        <x:v>46060</x:v>
      </x:c>
      <x:c r="C41" t="str">
        <x:v>Douala Central</x:v>
      </x:c>
      <x:c r="D41" t="str">
        <x:v>PRD017</x:v>
      </x:c>
      <x:c r="E41" t="n">
        <x:v>3</x:v>
      </x:c>
      <x:c r="F41" s="72" t="n">
        <x:v>12350</x:v>
      </x:c>
      <x:c r="G41" s="72" t="n">
        <x:v>0</x:v>
      </x:c>
      <x:c r="H41" s="72" t="n">
        <x:v>37050</x:v>
      </x:c>
      <x:c r="I41" t="str">
        <x:v>Online</x:v>
      </x:c>
      <x:c r="J41" t="str">
        <x:v>Paid</x:v>
      </x:c>
    </x:row>
    <x:row r="42">
      <x:c r="A42" t="str">
        <x:v>SO00038</x:v>
      </x:c>
      <x:c r="B42" s="76" t="n">
        <x:v>46061</x:v>
      </x:c>
      <x:c r="C42" t="str">
        <x:v>Yaounde Central</x:v>
      </x:c>
      <x:c r="D42" t="str">
        <x:v>PRD018</x:v>
      </x:c>
      <x:c r="E42" t="n">
        <x:v>4</x:v>
      </x:c>
      <x:c r="F42" s="72" t="n">
        <x:v>13000</x:v>
      </x:c>
      <x:c r="G42" s="72" t="n">
        <x:v>0</x:v>
      </x:c>
      <x:c r="H42" s="72" t="n">
        <x:v>52000</x:v>
      </x:c>
      <x:c r="I42" t="str">
        <x:v>Wholesale</x:v>
      </x:c>
      <x:c r="J42" t="str">
        <x:v>Paid</x:v>
      </x:c>
    </x:row>
    <x:row r="43">
      <x:c r="A43" t="str">
        <x:v>SO00039</x:v>
      </x:c>
      <x:c r="B43" s="76" t="n">
        <x:v>46062</x:v>
      </x:c>
      <x:c r="C43" t="str">
        <x:v>Buea Branch</x:v>
      </x:c>
      <x:c r="D43" t="str">
        <x:v>PRD019</x:v>
      </x:c>
      <x:c r="E43" t="n">
        <x:v>5</x:v>
      </x:c>
      <x:c r="F43" s="72" t="n">
        <x:v>13650</x:v>
      </x:c>
      <x:c r="G43" s="72" t="n">
        <x:v>0</x:v>
      </x:c>
      <x:c r="H43" s="72" t="n">
        <x:v>68250</x:v>
      </x:c>
      <x:c r="I43" t="str">
        <x:v>Corporate</x:v>
      </x:c>
      <x:c r="J43" t="str">
        <x:v>Paid</x:v>
      </x:c>
    </x:row>
    <x:row r="44">
      <x:c r="A44" t="str">
        <x:v>SO00040</x:v>
      </x:c>
      <x:c r="B44" s="76" t="n">
        <x:v>46063</x:v>
      </x:c>
      <x:c r="C44" t="str">
        <x:v>Bafoussam Branch</x:v>
      </x:c>
      <x:c r="D44" t="str">
        <x:v>PRD020</x:v>
      </x:c>
      <x:c r="E44" t="n">
        <x:v>1</x:v>
      </x:c>
      <x:c r="F44" s="72" t="n">
        <x:v>14300</x:v>
      </x:c>
      <x:c r="G44" s="72" t="n">
        <x:v>715</x:v>
      </x:c>
      <x:c r="H44" s="72" t="n">
        <x:v>13585</x:v>
      </x:c>
      <x:c r="I44" t="str">
        <x:v>Store</x:v>
      </x:c>
      <x:c r="J44" t="str">
        <x:v>Paid</x:v>
      </x:c>
    </x:row>
    <x:row r="45">
      <x:c r="A45" t="str">
        <x:v>SO00041</x:v>
      </x:c>
      <x:c r="B45" s="76" t="n">
        <x:v>46064</x:v>
      </x:c>
      <x:c r="C45" t="str">
        <x:v>Douala Central</x:v>
      </x:c>
      <x:c r="D45" t="str">
        <x:v>PRD001</x:v>
      </x:c>
      <x:c r="E45" t="n">
        <x:v>2</x:v>
      </x:c>
      <x:c r="F45" s="72" t="n">
        <x:v>1950</x:v>
      </x:c>
      <x:c r="G45" s="72" t="n">
        <x:v>0</x:v>
      </x:c>
      <x:c r="H45" s="72" t="n">
        <x:v>3900</x:v>
      </x:c>
      <x:c r="I45" t="str">
        <x:v>Online</x:v>
      </x:c>
      <x:c r="J45" t="str">
        <x:v>Paid</x:v>
      </x:c>
    </x:row>
    <x:row r="46">
      <x:c r="A46" t="str">
        <x:v>SO00042</x:v>
      </x:c>
      <x:c r="B46" s="76" t="n">
        <x:v>46065</x:v>
      </x:c>
      <x:c r="C46" t="str">
        <x:v>Yaounde Central</x:v>
      </x:c>
      <x:c r="D46" t="str">
        <x:v>PRD002</x:v>
      </x:c>
      <x:c r="E46" t="n">
        <x:v>3</x:v>
      </x:c>
      <x:c r="F46" s="72" t="n">
        <x:v>2600</x:v>
      </x:c>
      <x:c r="G46" s="72" t="n">
        <x:v>0</x:v>
      </x:c>
      <x:c r="H46" s="72" t="n">
        <x:v>7800</x:v>
      </x:c>
      <x:c r="I46" t="str">
        <x:v>Wholesale</x:v>
      </x:c>
      <x:c r="J46" t="str">
        <x:v>Paid</x:v>
      </x:c>
    </x:row>
    <x:row r="47">
      <x:c r="A47" t="str">
        <x:v>SO00043</x:v>
      </x:c>
      <x:c r="B47" s="76" t="n">
        <x:v>46066</x:v>
      </x:c>
      <x:c r="C47" t="str">
        <x:v>Buea Branch</x:v>
      </x:c>
      <x:c r="D47" t="str">
        <x:v>PRD003</x:v>
      </x:c>
      <x:c r="E47" t="n">
        <x:v>4</x:v>
      </x:c>
      <x:c r="F47" s="72" t="n">
        <x:v>3250</x:v>
      </x:c>
      <x:c r="G47" s="72" t="n">
        <x:v>0</x:v>
      </x:c>
      <x:c r="H47" s="72" t="n">
        <x:v>13000</x:v>
      </x:c>
      <x:c r="I47" t="str">
        <x:v>Corporate</x:v>
      </x:c>
      <x:c r="J47" t="str">
        <x:v>Paid</x:v>
      </x:c>
    </x:row>
    <x:row r="48">
      <x:c r="A48" t="str">
        <x:v>SO00044</x:v>
      </x:c>
      <x:c r="B48" s="76" t="n">
        <x:v>46067</x:v>
      </x:c>
      <x:c r="C48" t="str">
        <x:v>Bafoussam Branch</x:v>
      </x:c>
      <x:c r="D48" t="str">
        <x:v>PRD004</x:v>
      </x:c>
      <x:c r="E48" t="n">
        <x:v>5</x:v>
      </x:c>
      <x:c r="F48" s="72" t="n">
        <x:v>3900</x:v>
      </x:c>
      <x:c r="G48" s="72" t="n">
        <x:v>0</x:v>
      </x:c>
      <x:c r="H48" s="72" t="n">
        <x:v>19500</x:v>
      </x:c>
      <x:c r="I48" t="str">
        <x:v>Store</x:v>
      </x:c>
      <x:c r="J48" t="str">
        <x:v>Partial</x:v>
      </x:c>
    </x:row>
    <x:row r="49">
      <x:c r="A49" t="str">
        <x:v>SO00045</x:v>
      </x:c>
      <x:c r="B49" s="76" t="n">
        <x:v>46068</x:v>
      </x:c>
      <x:c r="C49" t="str">
        <x:v>Douala Central</x:v>
      </x:c>
      <x:c r="D49" t="str">
        <x:v>PRD005</x:v>
      </x:c>
      <x:c r="E49" t="n">
        <x:v>1</x:v>
      </x:c>
      <x:c r="F49" s="72" t="n">
        <x:v>4550</x:v>
      </x:c>
      <x:c r="G49" s="72" t="n">
        <x:v>0</x:v>
      </x:c>
      <x:c r="H49" s="72" t="n">
        <x:v>4550</x:v>
      </x:c>
      <x:c r="I49" t="str">
        <x:v>Online</x:v>
      </x:c>
      <x:c r="J49" t="str">
        <x:v>Paid</x:v>
      </x:c>
    </x:row>
    <x:row r="50">
      <x:c r="A50" t="str">
        <x:v>SO00046</x:v>
      </x:c>
      <x:c r="B50" s="76" t="n">
        <x:v>46069</x:v>
      </x:c>
      <x:c r="C50" t="str">
        <x:v>Yaounde Central</x:v>
      </x:c>
      <x:c r="D50" t="str">
        <x:v>PRD006</x:v>
      </x:c>
      <x:c r="E50" t="n">
        <x:v>2</x:v>
      </x:c>
      <x:c r="F50" s="72" t="n">
        <x:v>5200</x:v>
      </x:c>
      <x:c r="G50" s="72" t="n">
        <x:v>0</x:v>
      </x:c>
      <x:c r="H50" s="72" t="n">
        <x:v>10400</x:v>
      </x:c>
      <x:c r="I50" t="str">
        <x:v>Wholesale</x:v>
      </x:c>
      <x:c r="J50" t="str">
        <x:v>Paid</x:v>
      </x:c>
    </x:row>
    <x:row r="51">
      <x:c r="A51" t="str">
        <x:v>SO00047</x:v>
      </x:c>
      <x:c r="B51" s="76" t="n">
        <x:v>46070</x:v>
      </x:c>
      <x:c r="C51" t="str">
        <x:v>Buea Branch</x:v>
      </x:c>
      <x:c r="D51" t="str">
        <x:v>PRD007</x:v>
      </x:c>
      <x:c r="E51" t="n">
        <x:v>3</x:v>
      </x:c>
      <x:c r="F51" s="72" t="n">
        <x:v>5850</x:v>
      </x:c>
      <x:c r="G51" s="72" t="n">
        <x:v>0</x:v>
      </x:c>
      <x:c r="H51" s="72" t="n">
        <x:v>17550</x:v>
      </x:c>
      <x:c r="I51" t="str">
        <x:v>Corporate</x:v>
      </x:c>
      <x:c r="J51" t="str">
        <x:v>Paid</x:v>
      </x:c>
    </x:row>
    <x:row r="52">
      <x:c r="A52" t="str">
        <x:v>SO00048</x:v>
      </x:c>
      <x:c r="B52" s="76" t="n">
        <x:v>46071</x:v>
      </x:c>
      <x:c r="C52" t="str">
        <x:v>Bafoussam Branch</x:v>
      </x:c>
      <x:c r="D52" t="str">
        <x:v>PRD008</x:v>
      </x:c>
      <x:c r="E52" t="n">
        <x:v>4</x:v>
      </x:c>
      <x:c r="F52" s="72" t="n">
        <x:v>6500</x:v>
      </x:c>
      <x:c r="G52" s="72" t="n">
        <x:v>0</x:v>
      </x:c>
      <x:c r="H52" s="72" t="n">
        <x:v>26000</x:v>
      </x:c>
      <x:c r="I52" t="str">
        <x:v>Store</x:v>
      </x:c>
      <x:c r="J52" t="str">
        <x:v>Paid</x:v>
      </x:c>
    </x:row>
    <x:row r="53">
      <x:c r="A53" t="str">
        <x:v>SO00049</x:v>
      </x:c>
      <x:c r="B53" s="76" t="n">
        <x:v>46072</x:v>
      </x:c>
      <x:c r="C53" t="str">
        <x:v>Douala Central</x:v>
      </x:c>
      <x:c r="D53" t="str">
        <x:v>PRD009</x:v>
      </x:c>
      <x:c r="E53" t="n">
        <x:v>5</x:v>
      </x:c>
      <x:c r="F53" s="72" t="n">
        <x:v>7150</x:v>
      </x:c>
      <x:c r="G53" s="72" t="n">
        <x:v>0</x:v>
      </x:c>
      <x:c r="H53" s="72" t="n">
        <x:v>35750</x:v>
      </x:c>
      <x:c r="I53" t="str">
        <x:v>Online</x:v>
      </x:c>
      <x:c r="J53" t="str">
        <x:v>Paid</x:v>
      </x:c>
    </x:row>
    <x:row r="54">
      <x:c r="A54" t="str">
        <x:v>SO00050</x:v>
      </x:c>
      <x:c r="B54" s="76" t="n">
        <x:v>46073</x:v>
      </x:c>
      <x:c r="C54" t="str">
        <x:v>Yaounde Central</x:v>
      </x:c>
      <x:c r="D54" t="str">
        <x:v>PRD010</x:v>
      </x:c>
      <x:c r="E54" t="n">
        <x:v>1</x:v>
      </x:c>
      <x:c r="F54" s="72" t="n">
        <x:v>7800</x:v>
      </x:c>
      <x:c r="G54" s="72" t="n">
        <x:v>390</x:v>
      </x:c>
      <x:c r="H54" s="72" t="n">
        <x:v>7410</x:v>
      </x:c>
      <x:c r="I54" t="str">
        <x:v>Wholesale</x:v>
      </x:c>
      <x:c r="J54" t="str">
        <x:v>Paid</x:v>
      </x:c>
    </x:row>
    <x:row r="55">
      <x:c r="A55" t="str">
        <x:v>SO00051</x:v>
      </x:c>
      <x:c r="B55" s="76" t="n">
        <x:v>46074</x:v>
      </x:c>
      <x:c r="C55" t="str">
        <x:v>Buea Branch</x:v>
      </x:c>
      <x:c r="D55" t="str">
        <x:v>PRD011</x:v>
      </x:c>
      <x:c r="E55" t="n">
        <x:v>2</x:v>
      </x:c>
      <x:c r="F55" s="72" t="n">
        <x:v>8450</x:v>
      </x:c>
      <x:c r="G55" s="72" t="n">
        <x:v>0</x:v>
      </x:c>
      <x:c r="H55" s="72" t="n">
        <x:v>16900</x:v>
      </x:c>
      <x:c r="I55" t="str">
        <x:v>Corporate</x:v>
      </x:c>
      <x:c r="J55" t="str">
        <x:v>Paid</x:v>
      </x:c>
    </x:row>
    <x:row r="56">
      <x:c r="A56" t="str">
        <x:v>SO00052</x:v>
      </x:c>
      <x:c r="B56" s="76" t="n">
        <x:v>46075</x:v>
      </x:c>
      <x:c r="C56" t="str">
        <x:v>Bafoussam Branch</x:v>
      </x:c>
      <x:c r="D56" t="str">
        <x:v>PRD012</x:v>
      </x:c>
      <x:c r="E56" t="n">
        <x:v>3</x:v>
      </x:c>
      <x:c r="F56" s="72" t="n">
        <x:v>9100</x:v>
      </x:c>
      <x:c r="G56" s="72" t="n">
        <x:v>0</x:v>
      </x:c>
      <x:c r="H56" s="72" t="n">
        <x:v>27300</x:v>
      </x:c>
      <x:c r="I56" t="str">
        <x:v>Store</x:v>
      </x:c>
      <x:c r="J56" t="str">
        <x:v>Paid</x:v>
      </x:c>
    </x:row>
    <x:row r="57">
      <x:c r="A57" t="str">
        <x:v>SO00053</x:v>
      </x:c>
      <x:c r="B57" s="76" t="n">
        <x:v>46076</x:v>
      </x:c>
      <x:c r="C57" t="str">
        <x:v>Douala Central</x:v>
      </x:c>
      <x:c r="D57" t="str">
        <x:v>PRD013</x:v>
      </x:c>
      <x:c r="E57" t="n">
        <x:v>4</x:v>
      </x:c>
      <x:c r="F57" s="72" t="n">
        <x:v>9750</x:v>
      </x:c>
      <x:c r="G57" s="72" t="n">
        <x:v>0</x:v>
      </x:c>
      <x:c r="H57" s="72" t="n">
        <x:v>39000</x:v>
      </x:c>
      <x:c r="I57" t="str">
        <x:v>Online</x:v>
      </x:c>
      <x:c r="J57" t="str">
        <x:v>Paid</x:v>
      </x:c>
    </x:row>
    <x:row r="58">
      <x:c r="A58" t="str">
        <x:v>SO00054</x:v>
      </x:c>
      <x:c r="B58" s="76" t="n">
        <x:v>46077</x:v>
      </x:c>
      <x:c r="C58" t="str">
        <x:v>Yaounde Central</x:v>
      </x:c>
      <x:c r="D58" t="str">
        <x:v>PRD014</x:v>
      </x:c>
      <x:c r="E58" t="n">
        <x:v>5</x:v>
      </x:c>
      <x:c r="F58" s="72" t="n">
        <x:v>10400</x:v>
      </x:c>
      <x:c r="G58" s="72" t="n">
        <x:v>0</x:v>
      </x:c>
      <x:c r="H58" s="72" t="n">
        <x:v>52000</x:v>
      </x:c>
      <x:c r="I58" t="str">
        <x:v>Wholesale</x:v>
      </x:c>
      <x:c r="J58" t="str">
        <x:v>Paid</x:v>
      </x:c>
    </x:row>
    <x:row r="59">
      <x:c r="A59" t="str">
        <x:v>SO00055</x:v>
      </x:c>
      <x:c r="B59" s="76" t="n">
        <x:v>46078</x:v>
      </x:c>
      <x:c r="C59" t="str">
        <x:v>Buea Branch</x:v>
      </x:c>
      <x:c r="D59" t="str">
        <x:v>PRD015</x:v>
      </x:c>
      <x:c r="E59" t="n">
        <x:v>1</x:v>
      </x:c>
      <x:c r="F59" s="72" t="n">
        <x:v>11050</x:v>
      </x:c>
      <x:c r="G59" s="72" t="n">
        <x:v>0</x:v>
      </x:c>
      <x:c r="H59" s="72" t="n">
        <x:v>11050</x:v>
      </x:c>
      <x:c r="I59" t="str">
        <x:v>Corporate</x:v>
      </x:c>
      <x:c r="J59" t="str">
        <x:v>Partial</x:v>
      </x:c>
    </x:row>
    <x:row r="60">
      <x:c r="A60" t="str">
        <x:v>SO00056</x:v>
      </x:c>
      <x:c r="B60" s="76" t="n">
        <x:v>46079</x:v>
      </x:c>
      <x:c r="C60" t="str">
        <x:v>Bafoussam Branch</x:v>
      </x:c>
      <x:c r="D60" t="str">
        <x:v>PRD016</x:v>
      </x:c>
      <x:c r="E60" t="n">
        <x:v>2</x:v>
      </x:c>
      <x:c r="F60" s="72" t="n">
        <x:v>11700</x:v>
      </x:c>
      <x:c r="G60" s="72" t="n">
        <x:v>0</x:v>
      </x:c>
      <x:c r="H60" s="72" t="n">
        <x:v>23400</x:v>
      </x:c>
      <x:c r="I60" t="str">
        <x:v>Store</x:v>
      </x:c>
      <x:c r="J60" t="str">
        <x:v>Paid</x:v>
      </x:c>
    </x:row>
    <x:row r="61">
      <x:c r="A61" t="str">
        <x:v>SO00057</x:v>
      </x:c>
      <x:c r="B61" s="76" t="n">
        <x:v>46080</x:v>
      </x:c>
      <x:c r="C61" t="str">
        <x:v>Douala Central</x:v>
      </x:c>
      <x:c r="D61" t="str">
        <x:v>PRD017</x:v>
      </x:c>
      <x:c r="E61" t="n">
        <x:v>3</x:v>
      </x:c>
      <x:c r="F61" s="72" t="n">
        <x:v>12350</x:v>
      </x:c>
      <x:c r="G61" s="72" t="n">
        <x:v>0</x:v>
      </x:c>
      <x:c r="H61" s="72" t="n">
        <x:v>37050</x:v>
      </x:c>
      <x:c r="I61" t="str">
        <x:v>Online</x:v>
      </x:c>
      <x:c r="J61" t="str">
        <x:v>Paid</x:v>
      </x:c>
    </x:row>
    <x:row r="62">
      <x:c r="A62" t="str">
        <x:v>SO00058</x:v>
      </x:c>
      <x:c r="B62" s="76" t="n">
        <x:v>46081</x:v>
      </x:c>
      <x:c r="C62" t="str">
        <x:v>Yaounde Central</x:v>
      </x:c>
      <x:c r="D62" t="str">
        <x:v>PRD018</x:v>
      </x:c>
      <x:c r="E62" t="n">
        <x:v>4</x:v>
      </x:c>
      <x:c r="F62" s="72" t="n">
        <x:v>13000</x:v>
      </x:c>
      <x:c r="G62" s="72" t="n">
        <x:v>0</x:v>
      </x:c>
      <x:c r="H62" s="72" t="n">
        <x:v>52000</x:v>
      </x:c>
      <x:c r="I62" t="str">
        <x:v>Wholesale</x:v>
      </x:c>
      <x:c r="J62" t="str">
        <x:v>Paid</x:v>
      </x:c>
    </x:row>
    <x:row r="63">
      <x:c r="A63" t="str">
        <x:v>SO00059</x:v>
      </x:c>
      <x:c r="B63" s="76" t="n">
        <x:v>46082</x:v>
      </x:c>
      <x:c r="C63" t="str">
        <x:v>Buea Branch</x:v>
      </x:c>
      <x:c r="D63" t="str">
        <x:v>PRD019</x:v>
      </x:c>
      <x:c r="E63" t="n">
        <x:v>5</x:v>
      </x:c>
      <x:c r="F63" s="72" t="n">
        <x:v>13650</x:v>
      </x:c>
      <x:c r="G63" s="72" t="n">
        <x:v>0</x:v>
      </x:c>
      <x:c r="H63" s="72" t="n">
        <x:v>68250</x:v>
      </x:c>
      <x:c r="I63" t="str">
        <x:v>Corporate</x:v>
      </x:c>
      <x:c r="J63" t="str">
        <x:v>Paid</x:v>
      </x:c>
    </x:row>
    <x:row r="64">
      <x:c r="A64" t="str">
        <x:v>SO00060</x:v>
      </x:c>
      <x:c r="B64" s="76" t="n">
        <x:v>46083</x:v>
      </x:c>
      <x:c r="C64" t="str">
        <x:v>Bafoussam Branch</x:v>
      </x:c>
      <x:c r="D64" t="str">
        <x:v>PRD020</x:v>
      </x:c>
      <x:c r="E64" t="n">
        <x:v>1</x:v>
      </x:c>
      <x:c r="F64" s="72" t="n">
        <x:v>14300</x:v>
      </x:c>
      <x:c r="G64" s="72" t="n">
        <x:v>715</x:v>
      </x:c>
      <x:c r="H64" s="72" t="n">
        <x:v>13585</x:v>
      </x:c>
      <x:c r="I64" t="str">
        <x:v>Store</x:v>
      </x:c>
      <x:c r="J64" t="str">
        <x:v>Paid</x:v>
      </x:c>
    </x:row>
    <x:row r="65">
      <x:c r="A65" t="str">
        <x:v>SO00061</x:v>
      </x:c>
      <x:c r="B65" s="76" t="n">
        <x:v>46084</x:v>
      </x:c>
      <x:c r="C65" t="str">
        <x:v>Douala Central</x:v>
      </x:c>
      <x:c r="D65" t="str">
        <x:v>PRD001</x:v>
      </x:c>
      <x:c r="E65" t="n">
        <x:v>2</x:v>
      </x:c>
      <x:c r="F65" s="72" t="n">
        <x:v>1950</x:v>
      </x:c>
      <x:c r="G65" s="72" t="n">
        <x:v>0</x:v>
      </x:c>
      <x:c r="H65" s="72" t="n">
        <x:v>3900</x:v>
      </x:c>
      <x:c r="I65" t="str">
        <x:v>Online</x:v>
      </x:c>
      <x:c r="J65" t="str">
        <x:v>Paid</x:v>
      </x:c>
    </x:row>
    <x:row r="66">
      <x:c r="A66" t="str">
        <x:v>SO00062</x:v>
      </x:c>
      <x:c r="B66" s="76" t="n">
        <x:v>46085</x:v>
      </x:c>
      <x:c r="C66" t="str">
        <x:v>Yaounde Central</x:v>
      </x:c>
      <x:c r="D66" t="str">
        <x:v>PRD002</x:v>
      </x:c>
      <x:c r="E66" t="n">
        <x:v>3</x:v>
      </x:c>
      <x:c r="F66" s="72" t="n">
        <x:v>2600</x:v>
      </x:c>
      <x:c r="G66" s="72" t="n">
        <x:v>0</x:v>
      </x:c>
      <x:c r="H66" s="72" t="n">
        <x:v>7800</x:v>
      </x:c>
      <x:c r="I66" t="str">
        <x:v>Wholesale</x:v>
      </x:c>
      <x:c r="J66" t="str">
        <x:v>Paid</x:v>
      </x:c>
    </x:row>
    <x:row r="67">
      <x:c r="A67" t="str">
        <x:v>SO00063</x:v>
      </x:c>
      <x:c r="B67" s="76" t="n">
        <x:v>46086</x:v>
      </x:c>
      <x:c r="C67" t="str">
        <x:v>Buea Branch</x:v>
      </x:c>
      <x:c r="D67" t="str">
        <x:v>PRD003</x:v>
      </x:c>
      <x:c r="E67" t="n">
        <x:v>4</x:v>
      </x:c>
      <x:c r="F67" s="72" t="n">
        <x:v>3250</x:v>
      </x:c>
      <x:c r="G67" s="72" t="n">
        <x:v>0</x:v>
      </x:c>
      <x:c r="H67" s="72" t="n">
        <x:v>13000</x:v>
      </x:c>
      <x:c r="I67" t="str">
        <x:v>Corporate</x:v>
      </x:c>
      <x:c r="J67" t="str">
        <x:v>Paid</x:v>
      </x:c>
    </x:row>
    <x:row r="68">
      <x:c r="A68" t="str">
        <x:v>SO00064</x:v>
      </x:c>
      <x:c r="B68" s="76" t="n">
        <x:v>46087</x:v>
      </x:c>
      <x:c r="C68" t="str">
        <x:v>Bafoussam Branch</x:v>
      </x:c>
      <x:c r="D68" t="str">
        <x:v>PRD004</x:v>
      </x:c>
      <x:c r="E68" t="n">
        <x:v>5</x:v>
      </x:c>
      <x:c r="F68" s="72" t="n">
        <x:v>3900</x:v>
      </x:c>
      <x:c r="G68" s="72" t="n">
        <x:v>0</x:v>
      </x:c>
      <x:c r="H68" s="72" t="n">
        <x:v>19500</x:v>
      </x:c>
      <x:c r="I68" t="str">
        <x:v>Store</x:v>
      </x:c>
      <x:c r="J68" t="str">
        <x:v>Paid</x:v>
      </x:c>
    </x:row>
    <x:row r="69">
      <x:c r="A69" t="str">
        <x:v>SO00065</x:v>
      </x:c>
      <x:c r="B69" s="76" t="n">
        <x:v>46088</x:v>
      </x:c>
      <x:c r="C69" t="str">
        <x:v>Douala Central</x:v>
      </x:c>
      <x:c r="D69" t="str">
        <x:v>PRD005</x:v>
      </x:c>
      <x:c r="E69" t="n">
        <x:v>1</x:v>
      </x:c>
      <x:c r="F69" s="72" t="n">
        <x:v>4550</x:v>
      </x:c>
      <x:c r="G69" s="72" t="n">
        <x:v>0</x:v>
      </x:c>
      <x:c r="H69" s="72" t="n">
        <x:v>4550</x:v>
      </x:c>
      <x:c r="I69" t="str">
        <x:v>Online</x:v>
      </x:c>
      <x:c r="J69" t="str">
        <x:v>Paid</x:v>
      </x:c>
    </x:row>
    <x:row r="70">
      <x:c r="A70" t="str">
        <x:v>SO00066</x:v>
      </x:c>
      <x:c r="B70" s="76" t="n">
        <x:v>46089</x:v>
      </x:c>
      <x:c r="C70" t="str">
        <x:v>Yaounde Central</x:v>
      </x:c>
      <x:c r="D70" t="str">
        <x:v>PRD006</x:v>
      </x:c>
      <x:c r="E70" t="n">
        <x:v>2</x:v>
      </x:c>
      <x:c r="F70" s="72" t="n">
        <x:v>5200</x:v>
      </x:c>
      <x:c r="G70" s="72" t="n">
        <x:v>0</x:v>
      </x:c>
      <x:c r="H70" s="72" t="n">
        <x:v>10400</x:v>
      </x:c>
      <x:c r="I70" t="str">
        <x:v>Wholesale</x:v>
      </x:c>
      <x:c r="J70" t="str">
        <x:v>Partial</x:v>
      </x:c>
    </x:row>
    <x:row r="71">
      <x:c r="A71" t="str">
        <x:v>SO00067</x:v>
      </x:c>
      <x:c r="B71" s="76" t="n">
        <x:v>46090</x:v>
      </x:c>
      <x:c r="C71" t="str">
        <x:v>Buea Branch</x:v>
      </x:c>
      <x:c r="D71" t="str">
        <x:v>PRD007</x:v>
      </x:c>
      <x:c r="E71" t="n">
        <x:v>3</x:v>
      </x:c>
      <x:c r="F71" s="72" t="n">
        <x:v>5850</x:v>
      </x:c>
      <x:c r="G71" s="72" t="n">
        <x:v>0</x:v>
      </x:c>
      <x:c r="H71" s="72" t="n">
        <x:v>17550</x:v>
      </x:c>
      <x:c r="I71" t="str">
        <x:v>Corporate</x:v>
      </x:c>
      <x:c r="J71" t="str">
        <x:v>Paid</x:v>
      </x:c>
    </x:row>
    <x:row r="72">
      <x:c r="A72" t="str">
        <x:v>SO00068</x:v>
      </x:c>
      <x:c r="B72" s="76" t="n">
        <x:v>46091</x:v>
      </x:c>
      <x:c r="C72" t="str">
        <x:v>Bafoussam Branch</x:v>
      </x:c>
      <x:c r="D72" t="str">
        <x:v>PRD008</x:v>
      </x:c>
      <x:c r="E72" t="n">
        <x:v>4</x:v>
      </x:c>
      <x:c r="F72" s="72" t="n">
        <x:v>6500</x:v>
      </x:c>
      <x:c r="G72" s="72" t="n">
        <x:v>0</x:v>
      </x:c>
      <x:c r="H72" s="72" t="n">
        <x:v>26000</x:v>
      </x:c>
      <x:c r="I72" t="str">
        <x:v>Store</x:v>
      </x:c>
      <x:c r="J72" t="str">
        <x:v>Paid</x:v>
      </x:c>
    </x:row>
    <x:row r="73">
      <x:c r="A73" t="str">
        <x:v>SO00069</x:v>
      </x:c>
      <x:c r="B73" s="76" t="n">
        <x:v>46092</x:v>
      </x:c>
      <x:c r="C73" t="str">
        <x:v>Douala Central</x:v>
      </x:c>
      <x:c r="D73" t="str">
        <x:v>PRD009</x:v>
      </x:c>
      <x:c r="E73" t="n">
        <x:v>5</x:v>
      </x:c>
      <x:c r="F73" s="72" t="n">
        <x:v>7150</x:v>
      </x:c>
      <x:c r="G73" s="72" t="n">
        <x:v>0</x:v>
      </x:c>
      <x:c r="H73" s="72" t="n">
        <x:v>35750</x:v>
      </x:c>
      <x:c r="I73" t="str">
        <x:v>Online</x:v>
      </x:c>
      <x:c r="J73" t="str">
        <x:v>Paid</x:v>
      </x:c>
    </x:row>
    <x:row r="74">
      <x:c r="A74" t="str">
        <x:v>SO00070</x:v>
      </x:c>
      <x:c r="B74" s="76" t="n">
        <x:v>46093</x:v>
      </x:c>
      <x:c r="C74" t="str">
        <x:v>Yaounde Central</x:v>
      </x:c>
      <x:c r="D74" t="str">
        <x:v>PRD010</x:v>
      </x:c>
      <x:c r="E74" t="n">
        <x:v>1</x:v>
      </x:c>
      <x:c r="F74" s="72" t="n">
        <x:v>7800</x:v>
      </x:c>
      <x:c r="G74" s="72" t="n">
        <x:v>390</x:v>
      </x:c>
      <x:c r="H74" s="72" t="n">
        <x:v>7410</x:v>
      </x:c>
      <x:c r="I74" t="str">
        <x:v>Wholesale</x:v>
      </x:c>
      <x:c r="J74" t="str">
        <x:v>Paid</x:v>
      </x:c>
    </x:row>
    <x:row r="75">
      <x:c r="A75" t="str">
        <x:v>SO00071</x:v>
      </x:c>
      <x:c r="B75" s="76" t="n">
        <x:v>46094</x:v>
      </x:c>
      <x:c r="C75" t="str">
        <x:v>Buea Branch</x:v>
      </x:c>
      <x:c r="D75" t="str">
        <x:v>PRD011</x:v>
      </x:c>
      <x:c r="E75" t="n">
        <x:v>2</x:v>
      </x:c>
      <x:c r="F75" s="72" t="n">
        <x:v>8450</x:v>
      </x:c>
      <x:c r="G75" s="72" t="n">
        <x:v>0</x:v>
      </x:c>
      <x:c r="H75" s="72" t="n">
        <x:v>16900</x:v>
      </x:c>
      <x:c r="I75" t="str">
        <x:v>Corporate</x:v>
      </x:c>
      <x:c r="J75" t="str">
        <x:v>Paid</x:v>
      </x:c>
    </x:row>
    <x:row r="76">
      <x:c r="A76" t="str">
        <x:v>SO00072</x:v>
      </x:c>
      <x:c r="B76" s="76" t="n">
        <x:v>46095</x:v>
      </x:c>
      <x:c r="C76" t="str">
        <x:v>Bafoussam Branch</x:v>
      </x:c>
      <x:c r="D76" t="str">
        <x:v>PRD012</x:v>
      </x:c>
      <x:c r="E76" t="n">
        <x:v>3</x:v>
      </x:c>
      <x:c r="F76" s="72" t="n">
        <x:v>9100</x:v>
      </x:c>
      <x:c r="G76" s="72" t="n">
        <x:v>0</x:v>
      </x:c>
      <x:c r="H76" s="72" t="n">
        <x:v>27300</x:v>
      </x:c>
      <x:c r="I76" t="str">
        <x:v>Store</x:v>
      </x:c>
      <x:c r="J76" t="str">
        <x:v>Paid</x:v>
      </x:c>
    </x:row>
    <x:row r="77">
      <x:c r="A77" t="str">
        <x:v>SO00073</x:v>
      </x:c>
      <x:c r="B77" s="76" t="n">
        <x:v>46096</x:v>
      </x:c>
      <x:c r="C77" t="str">
        <x:v>Douala Central</x:v>
      </x:c>
      <x:c r="D77" t="str">
        <x:v>PRD013</x:v>
      </x:c>
      <x:c r="E77" t="n">
        <x:v>4</x:v>
      </x:c>
      <x:c r="F77" s="72" t="n">
        <x:v>9750</x:v>
      </x:c>
      <x:c r="G77" s="72" t="n">
        <x:v>0</x:v>
      </x:c>
      <x:c r="H77" s="72" t="n">
        <x:v>39000</x:v>
      </x:c>
      <x:c r="I77" t="str">
        <x:v>Online</x:v>
      </x:c>
      <x:c r="J77" t="str">
        <x:v>Paid</x:v>
      </x:c>
    </x:row>
    <x:row r="78">
      <x:c r="A78" t="str">
        <x:v>SO00074</x:v>
      </x:c>
      <x:c r="B78" s="76" t="n">
        <x:v>46097</x:v>
      </x:c>
      <x:c r="C78" t="str">
        <x:v>Yaounde Central</x:v>
      </x:c>
      <x:c r="D78" t="str">
        <x:v>PRD014</x:v>
      </x:c>
      <x:c r="E78" t="n">
        <x:v>5</x:v>
      </x:c>
      <x:c r="F78" s="72" t="n">
        <x:v>10400</x:v>
      </x:c>
      <x:c r="G78" s="72" t="n">
        <x:v>0</x:v>
      </x:c>
      <x:c r="H78" s="72" t="n">
        <x:v>52000</x:v>
      </x:c>
      <x:c r="I78" t="str">
        <x:v>Wholesale</x:v>
      </x:c>
      <x:c r="J78" t="str">
        <x:v>Paid</x:v>
      </x:c>
    </x:row>
    <x:row r="79">
      <x:c r="A79" t="str">
        <x:v>SO00075</x:v>
      </x:c>
      <x:c r="B79" s="76" t="n">
        <x:v>46098</x:v>
      </x:c>
      <x:c r="C79" t="str">
        <x:v>Buea Branch</x:v>
      </x:c>
      <x:c r="D79" t="str">
        <x:v>PRD015</x:v>
      </x:c>
      <x:c r="E79" t="n">
        <x:v>1</x:v>
      </x:c>
      <x:c r="F79" s="72" t="n">
        <x:v>11050</x:v>
      </x:c>
      <x:c r="G79" s="72" t="n">
        <x:v>0</x:v>
      </x:c>
      <x:c r="H79" s="72" t="n">
        <x:v>11050</x:v>
      </x:c>
      <x:c r="I79" t="str">
        <x:v>Corporate</x:v>
      </x:c>
      <x:c r="J79" t="str">
        <x:v>Paid</x:v>
      </x:c>
    </x:row>
    <x:row r="80">
      <x:c r="A80" t="str">
        <x:v>SO00076</x:v>
      </x:c>
      <x:c r="B80" s="76" t="n">
        <x:v>46099</x:v>
      </x:c>
      <x:c r="C80" t="str">
        <x:v>Bafoussam Branch</x:v>
      </x:c>
      <x:c r="D80" t="str">
        <x:v>PRD016</x:v>
      </x:c>
      <x:c r="E80" t="n">
        <x:v>2</x:v>
      </x:c>
      <x:c r="F80" s="72" t="n">
        <x:v>11700</x:v>
      </x:c>
      <x:c r="G80" s="72" t="n">
        <x:v>0</x:v>
      </x:c>
      <x:c r="H80" s="72" t="n">
        <x:v>23400</x:v>
      </x:c>
      <x:c r="I80" t="str">
        <x:v>Store</x:v>
      </x:c>
      <x:c r="J80" t="str">
        <x:v>Paid</x:v>
      </x:c>
    </x:row>
    <x:row r="81">
      <x:c r="A81" t="str">
        <x:v>SO00077</x:v>
      </x:c>
      <x:c r="B81" s="76" t="n">
        <x:v>46100</x:v>
      </x:c>
      <x:c r="C81" t="str">
        <x:v>Douala Central</x:v>
      </x:c>
      <x:c r="D81" t="str">
        <x:v>PRD017</x:v>
      </x:c>
      <x:c r="E81" t="n">
        <x:v>3</x:v>
      </x:c>
      <x:c r="F81" s="72" t="n">
        <x:v>12350</x:v>
      </x:c>
      <x:c r="G81" s="72" t="n">
        <x:v>0</x:v>
      </x:c>
      <x:c r="H81" s="72" t="n">
        <x:v>37050</x:v>
      </x:c>
      <x:c r="I81" t="str">
        <x:v>Online</x:v>
      </x:c>
      <x:c r="J81" t="str">
        <x:v>Partial</x:v>
      </x:c>
    </x:row>
    <x:row r="82">
      <x:c r="A82" t="str">
        <x:v>SO00078</x:v>
      </x:c>
      <x:c r="B82" s="76" t="n">
        <x:v>46101</x:v>
      </x:c>
      <x:c r="C82" t="str">
        <x:v>Yaounde Central</x:v>
      </x:c>
      <x:c r="D82" t="str">
        <x:v>PRD018</x:v>
      </x:c>
      <x:c r="E82" t="n">
        <x:v>4</x:v>
      </x:c>
      <x:c r="F82" s="72" t="n">
        <x:v>13000</x:v>
      </x:c>
      <x:c r="G82" s="72" t="n">
        <x:v>0</x:v>
      </x:c>
      <x:c r="H82" s="72" t="n">
        <x:v>52000</x:v>
      </x:c>
      <x:c r="I82" t="str">
        <x:v>Wholesale</x:v>
      </x:c>
      <x:c r="J82" t="str">
        <x:v>Paid</x:v>
      </x:c>
    </x:row>
    <x:row r="83">
      <x:c r="A83" t="str">
        <x:v>SO00079</x:v>
      </x:c>
      <x:c r="B83" s="76" t="n">
        <x:v>46102</x:v>
      </x:c>
      <x:c r="C83" t="str">
        <x:v>Buea Branch</x:v>
      </x:c>
      <x:c r="D83" t="str">
        <x:v>PRD019</x:v>
      </x:c>
      <x:c r="E83" t="n">
        <x:v>5</x:v>
      </x:c>
      <x:c r="F83" s="72" t="n">
        <x:v>13650</x:v>
      </x:c>
      <x:c r="G83" s="72" t="n">
        <x:v>0</x:v>
      </x:c>
      <x:c r="H83" s="72" t="n">
        <x:v>68250</x:v>
      </x:c>
      <x:c r="I83" t="str">
        <x:v>Corporate</x:v>
      </x:c>
      <x:c r="J83" t="str">
        <x:v>Paid</x:v>
      </x:c>
    </x:row>
    <x:row r="84">
      <x:c r="A84" t="str">
        <x:v>SO00080</x:v>
      </x:c>
      <x:c r="B84" s="76" t="n">
        <x:v>46103</x:v>
      </x:c>
      <x:c r="C84" t="str">
        <x:v>Bafoussam Branch</x:v>
      </x:c>
      <x:c r="D84" t="str">
        <x:v>PRD020</x:v>
      </x:c>
      <x:c r="E84" t="n">
        <x:v>1</x:v>
      </x:c>
      <x:c r="F84" s="72" t="n">
        <x:v>14300</x:v>
      </x:c>
      <x:c r="G84" s="72" t="n">
        <x:v>715</x:v>
      </x:c>
      <x:c r="H84" s="72" t="n">
        <x:v>13585</x:v>
      </x:c>
      <x:c r="I84" t="str">
        <x:v>Store</x:v>
      </x:c>
      <x:c r="J84" t="str">
        <x:v>Paid</x:v>
      </x:c>
    </x:row>
  </x:sheetData>
  <x:mergeCells>
    <x:mergeCell ref="A1:J2"/>
  </x:mergeCells>
  <x:conditionalFormatting sqref="H5:H8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{5B0A5B78-38D8-0373-5414-853C514D0D1E}</x14:id>
        </x:ext>
      </x:extLst>
    </x:cfRule>
  </x:conditionalFormatting>
  <x:conditionalFormatting sqref="J5:J84">
    <x:cfRule type="expression" dxfId="0" priority="2">
      <x:formula>J5="Partial"</x:formula>
    </x:cfRule>
  </x:conditionalFormatting>
  <x:dataValidations count="1">
    <x:dataValidation type="list" sqref="O5:O9">
      <x:formula1>"Not Started,In Progress,Completed"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f9e693503746c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B0A5B78-38D8-0373-5414-853C514D0D1E}">
            <x14:dataBar gradient="1">
              <x14:cfvo type="min"/>
              <x14:cfvo type="max"/>
              <x14:fillColor rgb="FFA02B93"/>
            </x14:dataBar>
          </x14:cfRule>
          <xm:sqref>H5:H84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6" hidden="0" customWidth="1"/>
    <x:col min="12" max="12" width="22" hidden="0" customWidth="1"/>
    <x:col min="13" max="13" width="18" hidden="0" customWidth="1"/>
    <x:col min="14" max="14" width="16" hidden="0" customWidth="1"/>
    <x:col min="15" max="15" width="22" hidden="0" customWidth="1"/>
  </x:cols>
  <x:sheetData>
    <x:row r="1" ht="30" customHeight="1">
      <x:c r="A1" s="5" t="str">
        <x:v>Lab 4 — Summary Analysis with SUMIFS and COUNTIFS</x:v>
      </x:c>
    </x:row>
    <x:row r="4">
      <x:c r="A4" s="53" t="str">
        <x:v>Order ID</x:v>
      </x:c>
      <x:c r="B4" s="54" t="str">
        <x:v>Order Date</x:v>
      </x:c>
      <x:c r="C4" s="54" t="str">
        <x:v>Branch</x:v>
      </x:c>
      <x:c r="D4" s="54" t="str">
        <x:v>Product ID</x:v>
      </x:c>
      <x:c r="E4" s="54" t="str">
        <x:v>Quantity</x:v>
      </x:c>
      <x:c r="F4" s="54" t="str">
        <x:v>Unit Price</x:v>
      </x:c>
      <x:c r="G4" s="54" t="str">
        <x:v>Discount</x:v>
      </x:c>
      <x:c r="H4" s="54" t="str">
        <x:v>Sales Total</x:v>
      </x:c>
      <x:c r="I4" s="54" t="str">
        <x:v>Channel</x:v>
      </x:c>
      <x:c r="J4" s="55" t="str">
        <x:v>Payment Status</x:v>
      </x:c>
      <x:c r="L4" s="53" t="str">
        <x:v>Branch</x:v>
      </x:c>
      <x:c r="M4" s="54" t="str">
        <x:v>Total Sales</x:v>
      </x:c>
      <x:c r="N4" s="54" t="str">
        <x:v>Order Count</x:v>
      </x:c>
      <x:c r="O4" s="55" t="str">
        <x:v>Average Order Value</x:v>
      </x:c>
    </x:row>
    <x:row r="5">
      <x:c r="A5" t="str">
        <x:v>SO00001</x:v>
      </x:c>
      <x:c r="B5" s="76" t="n">
        <x:v>46024</x:v>
      </x:c>
      <x:c r="C5" t="str">
        <x:v>Douala Central</x:v>
      </x:c>
      <x:c r="D5" t="str">
        <x:v>PRD001</x:v>
      </x:c>
      <x:c r="E5" t="n">
        <x:v>2</x:v>
      </x:c>
      <x:c r="F5" s="72" t="n">
        <x:v>1950</x:v>
      </x:c>
      <x:c r="G5" s="72" t="n">
        <x:v>0</x:v>
      </x:c>
      <x:c r="H5" s="72" t="n">
        <x:v>3900</x:v>
      </x:c>
      <x:c r="I5" t="str">
        <x:v>Online</x:v>
      </x:c>
      <x:c r="J5" t="str">
        <x:v>Paid</x:v>
      </x:c>
      <x:c r="L5" t="str">
        <x:v>Douala Central</x:v>
      </x:c>
      <x:c r="M5" s="72" t="n">
        <x:f>SUMIFS($H$5:$H$84,$C$5:$C$84,L5)</x:f>
        <x:v>481000</x:v>
      </x:c>
      <x:c r="N5" t="n">
        <x:f>COUNTIFS($C$5:$C$84,L5)</x:f>
        <x:v>20</x:v>
      </x:c>
      <x:c r="O5" s="72" t="n">
        <x:f>IF(N5=0,0,M5/N5)</x:f>
        <x:v>24050</x:v>
      </x:c>
    </x:row>
    <x:row r="6">
      <x:c r="A6" t="str">
        <x:v>SO00002</x:v>
      </x:c>
      <x:c r="B6" s="76" t="n">
        <x:v>46025</x:v>
      </x:c>
      <x:c r="C6" t="str">
        <x:v>Yaounde Central</x:v>
      </x:c>
      <x:c r="D6" t="str">
        <x:v>PRD002</x:v>
      </x:c>
      <x:c r="E6" t="n">
        <x:v>3</x:v>
      </x:c>
      <x:c r="F6" s="72" t="n">
        <x:v>2600</x:v>
      </x:c>
      <x:c r="G6" s="72" t="n">
        <x:v>0</x:v>
      </x:c>
      <x:c r="H6" s="72" t="n">
        <x:v>7800</x:v>
      </x:c>
      <x:c r="I6" t="str">
        <x:v>Wholesale</x:v>
      </x:c>
      <x:c r="J6" t="str">
        <x:v>Paid</x:v>
      </x:c>
      <x:c r="L6" t="str">
        <x:v>Yaounde Central</x:v>
      </x:c>
      <x:c r="M6" s="72" t="n">
        <x:f>SUMIFS($H$5:$H$84,$C$5:$C$84,L6)</x:f>
        <x:v>518440</x:v>
      </x:c>
      <x:c r="N6" t="n">
        <x:f>COUNTIFS($C$5:$C$84,L6)</x:f>
        <x:v>20</x:v>
      </x:c>
      <x:c r="O6" s="72" t="n">
        <x:f>IF(N6=0,0,M6/N6)</x:f>
        <x:v>25922</x:v>
      </x:c>
    </x:row>
    <x:row r="7">
      <x:c r="A7" t="str">
        <x:v>SO00003</x:v>
      </x:c>
      <x:c r="B7" s="76" t="n">
        <x:v>46026</x:v>
      </x:c>
      <x:c r="C7" t="str">
        <x:v>Buea Branch</x:v>
      </x:c>
      <x:c r="D7" t="str">
        <x:v>PRD003</x:v>
      </x:c>
      <x:c r="E7" t="n">
        <x:v>4</x:v>
      </x:c>
      <x:c r="F7" s="72" t="n">
        <x:v>3250</x:v>
      </x:c>
      <x:c r="G7" s="72" t="n">
        <x:v>0</x:v>
      </x:c>
      <x:c r="H7" s="72" t="n">
        <x:v>13000</x:v>
      </x:c>
      <x:c r="I7" t="str">
        <x:v>Corporate</x:v>
      </x:c>
      <x:c r="J7" t="str">
        <x:v>Paid</x:v>
      </x:c>
      <x:c r="L7" t="str">
        <x:v>Buea Branch</x:v>
      </x:c>
      <x:c r="M7" s="72" t="n">
        <x:f>SUMIFS($H$5:$H$84,$C$5:$C$84,L7)</x:f>
        <x:v>507000</x:v>
      </x:c>
      <x:c r="N7" t="n">
        <x:f>COUNTIFS($C$5:$C$84,L7)</x:f>
        <x:v>20</x:v>
      </x:c>
      <x:c r="O7" s="72" t="n">
        <x:f>IF(N7=0,0,M7/N7)</x:f>
        <x:v>25350</x:v>
      </x:c>
    </x:row>
    <x:row r="8">
      <x:c r="A8" t="str">
        <x:v>SO00004</x:v>
      </x:c>
      <x:c r="B8" s="76" t="n">
        <x:v>46027</x:v>
      </x:c>
      <x:c r="C8" t="str">
        <x:v>Bafoussam Branch</x:v>
      </x:c>
      <x:c r="D8" t="str">
        <x:v>PRD004</x:v>
      </x:c>
      <x:c r="E8" t="n">
        <x:v>5</x:v>
      </x:c>
      <x:c r="F8" s="72" t="n">
        <x:v>3900</x:v>
      </x:c>
      <x:c r="G8" s="72" t="n">
        <x:v>0</x:v>
      </x:c>
      <x:c r="H8" s="72" t="n">
        <x:v>19500</x:v>
      </x:c>
      <x:c r="I8" t="str">
        <x:v>Store</x:v>
      </x:c>
      <x:c r="J8" t="str">
        <x:v>Paid</x:v>
      </x:c>
      <x:c r="L8" t="str">
        <x:v>Bafoussam Branch</x:v>
      </x:c>
      <x:c r="M8" s="72" t="n">
        <x:f>SUMIFS($H$5:$H$84,$C$5:$C$84,L8)</x:f>
        <x:v>439140</x:v>
      </x:c>
      <x:c r="N8" t="n">
        <x:f>COUNTIFS($C$5:$C$84,L8)</x:f>
        <x:v>20</x:v>
      </x:c>
      <x:c r="O8" s="72" t="n">
        <x:f>IF(N8=0,0,M8/N8)</x:f>
        <x:v>21957</x:v>
      </x:c>
    </x:row>
    <x:row r="9">
      <x:c r="A9" t="str">
        <x:v>SO00005</x:v>
      </x:c>
      <x:c r="B9" s="76" t="n">
        <x:v>46028</x:v>
      </x:c>
      <x:c r="C9" t="str">
        <x:v>Douala Central</x:v>
      </x:c>
      <x:c r="D9" t="str">
        <x:v>PRD005</x:v>
      </x:c>
      <x:c r="E9" t="n">
        <x:v>1</x:v>
      </x:c>
      <x:c r="F9" s="72" t="n">
        <x:v>4550</x:v>
      </x:c>
      <x:c r="G9" s="72" t="n">
        <x:v>0</x:v>
      </x:c>
      <x:c r="H9" s="72" t="n">
        <x:v>4550</x:v>
      </x:c>
      <x:c r="I9" t="str">
        <x:v>Online</x:v>
      </x:c>
      <x:c r="J9" t="str">
        <x:v>Paid</x:v>
      </x:c>
      <x:c r="M9" s="72"/>
      <x:c r="O9" s="72"/>
    </x:row>
    <x:row r="10">
      <x:c r="A10" t="str">
        <x:v>SO00006</x:v>
      </x:c>
      <x:c r="B10" s="76" t="n">
        <x:v>46029</x:v>
      </x:c>
      <x:c r="C10" t="str">
        <x:v>Yaounde Central</x:v>
      </x:c>
      <x:c r="D10" t="str">
        <x:v>PRD006</x:v>
      </x:c>
      <x:c r="E10" t="n">
        <x:v>2</x:v>
      </x:c>
      <x:c r="F10" s="72" t="n">
        <x:v>5200</x:v>
      </x:c>
      <x:c r="G10" s="72" t="n">
        <x:v>0</x:v>
      </x:c>
      <x:c r="H10" s="72" t="n">
        <x:v>10400</x:v>
      </x:c>
      <x:c r="I10" t="str">
        <x:v>Wholesale</x:v>
      </x:c>
      <x:c r="J10" t="str">
        <x:v>Paid</x:v>
      </x:c>
      <x:c r="M10" s="72"/>
      <x:c r="O10" s="72"/>
    </x:row>
    <x:row r="11">
      <x:c r="A11" t="str">
        <x:v>SO00007</x:v>
      </x:c>
      <x:c r="B11" s="76" t="n">
        <x:v>46030</x:v>
      </x:c>
      <x:c r="C11" t="str">
        <x:v>Buea Branch</x:v>
      </x:c>
      <x:c r="D11" t="str">
        <x:v>PRD007</x:v>
      </x:c>
      <x:c r="E11" t="n">
        <x:v>3</x:v>
      </x:c>
      <x:c r="F11" s="72" t="n">
        <x:v>5850</x:v>
      </x:c>
      <x:c r="G11" s="72" t="n">
        <x:v>0</x:v>
      </x:c>
      <x:c r="H11" s="72" t="n">
        <x:v>17550</x:v>
      </x:c>
      <x:c r="I11" t="str">
        <x:v>Corporate</x:v>
      </x:c>
      <x:c r="J11" t="str">
        <x:v>Paid</x:v>
      </x:c>
      <x:c r="L11" s="53" t="str">
        <x:v>Channel</x:v>
      </x:c>
      <x:c r="M11" s="78" t="str">
        <x:v>Total Sales</x:v>
      </x:c>
      <x:c r="N11" s="54" t="str">
        <x:v>Order Count</x:v>
      </x:c>
      <x:c r="O11" s="80" t="str">
        <x:v>Average Order Value</x:v>
      </x:c>
    </x:row>
    <x:row r="12">
      <x:c r="A12" t="str">
        <x:v>SO00008</x:v>
      </x:c>
      <x:c r="B12" s="76" t="n">
        <x:v>46031</x:v>
      </x:c>
      <x:c r="C12" t="str">
        <x:v>Bafoussam Branch</x:v>
      </x:c>
      <x:c r="D12" t="str">
        <x:v>PRD008</x:v>
      </x:c>
      <x:c r="E12" t="n">
        <x:v>4</x:v>
      </x:c>
      <x:c r="F12" s="72" t="n">
        <x:v>6500</x:v>
      </x:c>
      <x:c r="G12" s="72" t="n">
        <x:v>0</x:v>
      </x:c>
      <x:c r="H12" s="72" t="n">
        <x:v>26000</x:v>
      </x:c>
      <x:c r="I12" t="str">
        <x:v>Store</x:v>
      </x:c>
      <x:c r="J12" t="str">
        <x:v>Paid</x:v>
      </x:c>
      <x:c r="L12" t="str">
        <x:v>Store</x:v>
      </x:c>
      <x:c r="M12" s="72" t="n">
        <x:f>SUMIFS($H$5:$H$84,$I$5:$I$84,L12)</x:f>
        <x:v>439140</x:v>
      </x:c>
      <x:c r="N12" t="n">
        <x:f>COUNTIFS($I$5:$I$84,L12)</x:f>
        <x:v>20</x:v>
      </x:c>
      <x:c r="O12" s="72" t="n">
        <x:f>IF(N12=0,0,M12/N12)</x:f>
        <x:v>21957</x:v>
      </x:c>
    </x:row>
    <x:row r="13">
      <x:c r="A13" t="str">
        <x:v>SO00009</x:v>
      </x:c>
      <x:c r="B13" s="76" t="n">
        <x:v>46032</x:v>
      </x:c>
      <x:c r="C13" t="str">
        <x:v>Douala Central</x:v>
      </x:c>
      <x:c r="D13" t="str">
        <x:v>PRD009</x:v>
      </x:c>
      <x:c r="E13" t="n">
        <x:v>5</x:v>
      </x:c>
      <x:c r="F13" s="72" t="n">
        <x:v>7150</x:v>
      </x:c>
      <x:c r="G13" s="72" t="n">
        <x:v>0</x:v>
      </x:c>
      <x:c r="H13" s="72" t="n">
        <x:v>35750</x:v>
      </x:c>
      <x:c r="I13" t="str">
        <x:v>Online</x:v>
      </x:c>
      <x:c r="J13" t="str">
        <x:v>Paid</x:v>
      </x:c>
      <x:c r="L13" t="str">
        <x:v>Online</x:v>
      </x:c>
      <x:c r="M13" s="72" t="n">
        <x:f>SUMIFS($H$5:$H$84,$I$5:$I$84,L13)</x:f>
        <x:v>481000</x:v>
      </x:c>
      <x:c r="N13" t="n">
        <x:f>COUNTIFS($I$5:$I$84,L13)</x:f>
        <x:v>20</x:v>
      </x:c>
      <x:c r="O13" s="72" t="n">
        <x:f>IF(N13=0,0,M13/N13)</x:f>
        <x:v>24050</x:v>
      </x:c>
    </x:row>
    <x:row r="14">
      <x:c r="A14" t="str">
        <x:v>SO00010</x:v>
      </x:c>
      <x:c r="B14" s="76" t="n">
        <x:v>46033</x:v>
      </x:c>
      <x:c r="C14" t="str">
        <x:v>Yaounde Central</x:v>
      </x:c>
      <x:c r="D14" t="str">
        <x:v>PRD010</x:v>
      </x:c>
      <x:c r="E14" t="n">
        <x:v>1</x:v>
      </x:c>
      <x:c r="F14" s="72" t="n">
        <x:v>7800</x:v>
      </x:c>
      <x:c r="G14" s="72" t="n">
        <x:v>390</x:v>
      </x:c>
      <x:c r="H14" s="72" t="n">
        <x:v>7410</x:v>
      </x:c>
      <x:c r="I14" t="str">
        <x:v>Wholesale</x:v>
      </x:c>
      <x:c r="J14" t="str">
        <x:v>Paid</x:v>
      </x:c>
      <x:c r="L14" t="str">
        <x:v>Wholesale</x:v>
      </x:c>
      <x:c r="M14" s="72" t="n">
        <x:f>SUMIFS($H$5:$H$84,$I$5:$I$84,L14)</x:f>
        <x:v>518440</x:v>
      </x:c>
      <x:c r="N14" t="n">
        <x:f>COUNTIFS($I$5:$I$84,L14)</x:f>
        <x:v>20</x:v>
      </x:c>
      <x:c r="O14" s="72" t="n">
        <x:f>IF(N14=0,0,M14/N14)</x:f>
        <x:v>25922</x:v>
      </x:c>
    </x:row>
    <x:row r="15">
      <x:c r="A15" t="str">
        <x:v>SO00011</x:v>
      </x:c>
      <x:c r="B15" s="76" t="n">
        <x:v>46034</x:v>
      </x:c>
      <x:c r="C15" t="str">
        <x:v>Buea Branch</x:v>
      </x:c>
      <x:c r="D15" t="str">
        <x:v>PRD011</x:v>
      </x:c>
      <x:c r="E15" t="n">
        <x:v>2</x:v>
      </x:c>
      <x:c r="F15" s="72" t="n">
        <x:v>8450</x:v>
      </x:c>
      <x:c r="G15" s="72" t="n">
        <x:v>0</x:v>
      </x:c>
      <x:c r="H15" s="72" t="n">
        <x:v>16900</x:v>
      </x:c>
      <x:c r="I15" t="str">
        <x:v>Corporate</x:v>
      </x:c>
      <x:c r="J15" t="str">
        <x:v>Partial</x:v>
      </x:c>
      <x:c r="L15" t="str">
        <x:v>Corporate</x:v>
      </x:c>
      <x:c r="M15" s="72" t="n">
        <x:f>SUMIFS($H$5:$H$84,$I$5:$I$84,L15)</x:f>
        <x:v>507000</x:v>
      </x:c>
      <x:c r="N15" t="n">
        <x:f>COUNTIFS($I$5:$I$84,L15)</x:f>
        <x:v>20</x:v>
      </x:c>
      <x:c r="O15" s="72" t="n">
        <x:f>IF(N15=0,0,M15/N15)</x:f>
        <x:v>25350</x:v>
      </x:c>
    </x:row>
    <x:row r="16">
      <x:c r="A16" t="str">
        <x:v>SO00012</x:v>
      </x:c>
      <x:c r="B16" s="76" t="n">
        <x:v>46035</x:v>
      </x:c>
      <x:c r="C16" t="str">
        <x:v>Bafoussam Branch</x:v>
      </x:c>
      <x:c r="D16" t="str">
        <x:v>PRD012</x:v>
      </x:c>
      <x:c r="E16" t="n">
        <x:v>3</x:v>
      </x:c>
      <x:c r="F16" s="72" t="n">
        <x:v>9100</x:v>
      </x:c>
      <x:c r="G16" s="72" t="n">
        <x:v>0</x:v>
      </x:c>
      <x:c r="H16" s="72" t="n">
        <x:v>27300</x:v>
      </x:c>
      <x:c r="I16" t="str">
        <x:v>Store</x:v>
      </x:c>
      <x:c r="J16" t="str">
        <x:v>Paid</x:v>
      </x:c>
    </x:row>
    <x:row r="17">
      <x:c r="A17" t="str">
        <x:v>SO00013</x:v>
      </x:c>
      <x:c r="B17" s="76" t="n">
        <x:v>46036</x:v>
      </x:c>
      <x:c r="C17" t="str">
        <x:v>Douala Central</x:v>
      </x:c>
      <x:c r="D17" t="str">
        <x:v>PRD013</x:v>
      </x:c>
      <x:c r="E17" t="n">
        <x:v>4</x:v>
      </x:c>
      <x:c r="F17" s="72" t="n">
        <x:v>9750</x:v>
      </x:c>
      <x:c r="G17" s="72" t="n">
        <x:v>0</x:v>
      </x:c>
      <x:c r="H17" s="72" t="n">
        <x:v>39000</x:v>
      </x:c>
      <x:c r="I17" t="str">
        <x:v>Online</x:v>
      </x:c>
      <x:c r="J17" t="str">
        <x:v>Paid</x:v>
      </x:c>
    </x:row>
    <x:row r="18">
      <x:c r="A18" t="str">
        <x:v>SO00014</x:v>
      </x:c>
      <x:c r="B18" s="76" t="n">
        <x:v>46037</x:v>
      </x:c>
      <x:c r="C18" t="str">
        <x:v>Yaounde Central</x:v>
      </x:c>
      <x:c r="D18" t="str">
        <x:v>PRD014</x:v>
      </x:c>
      <x:c r="E18" t="n">
        <x:v>5</x:v>
      </x:c>
      <x:c r="F18" s="72" t="n">
        <x:v>10400</x:v>
      </x:c>
      <x:c r="G18" s="72" t="n">
        <x:v>0</x:v>
      </x:c>
      <x:c r="H18" s="72" t="n">
        <x:v>52000</x:v>
      </x:c>
      <x:c r="I18" t="str">
        <x:v>Wholesale</x:v>
      </x:c>
      <x:c r="J18" t="str">
        <x:v>Paid</x:v>
      </x:c>
      <x:c r="L18" s="53" t="str">
        <x:v>Question</x:v>
      </x:c>
      <x:c r="M18" s="54" t="str">
        <x:v>Expected Formula Type</x:v>
      </x:c>
      <x:c r="N18" s="54" t="str">
        <x:v>Marks</x:v>
      </x:c>
      <x:c r="O18" s="55" t="str">
        <x:v>Student Answer</x:v>
      </x:c>
    </x:row>
    <x:row r="19">
      <x:c r="A19" t="str">
        <x:v>SO00015</x:v>
      </x:c>
      <x:c r="B19" s="76" t="n">
        <x:v>46038</x:v>
      </x:c>
      <x:c r="C19" t="str">
        <x:v>Buea Branch</x:v>
      </x:c>
      <x:c r="D19" t="str">
        <x:v>PRD015</x:v>
      </x:c>
      <x:c r="E19" t="n">
        <x:v>1</x:v>
      </x:c>
      <x:c r="F19" s="72" t="n">
        <x:v>11050</x:v>
      </x:c>
      <x:c r="G19" s="72" t="n">
        <x:v>0</x:v>
      </x:c>
      <x:c r="H19" s="72" t="n">
        <x:v>11050</x:v>
      </x:c>
      <x:c r="I19" t="str">
        <x:v>Corporate</x:v>
      </x:c>
      <x:c r="J19" t="str">
        <x:v>Paid</x:v>
      </x:c>
      <x:c r="L19" t="str">
        <x:v>Which branch generated the highest sales?</x:v>
      </x:c>
      <x:c r="M19" t="str">
        <x:v>MAX + lookup or comparison</x:v>
      </x:c>
      <x:c r="N19" t="n">
        <x:v>4</x:v>
      </x:c>
      <x:c r="O19" s="68" t="str"/>
    </x:row>
    <x:row r="20">
      <x:c r="A20" t="str">
        <x:v>SO00016</x:v>
      </x:c>
      <x:c r="B20" s="76" t="n">
        <x:v>46039</x:v>
      </x:c>
      <x:c r="C20" t="str">
        <x:v>Bafoussam Branch</x:v>
      </x:c>
      <x:c r="D20" t="str">
        <x:v>PRD016</x:v>
      </x:c>
      <x:c r="E20" t="n">
        <x:v>2</x:v>
      </x:c>
      <x:c r="F20" s="72" t="n">
        <x:v>11700</x:v>
      </x:c>
      <x:c r="G20" s="72" t="n">
        <x:v>0</x:v>
      </x:c>
      <x:c r="H20" s="72" t="n">
        <x:v>23400</x:v>
      </x:c>
      <x:c r="I20" t="str">
        <x:v>Store</x:v>
      </x:c>
      <x:c r="J20" t="str">
        <x:v>Paid</x:v>
      </x:c>
      <x:c r="L20" t="str">
        <x:v>Which channel had the largest order count?</x:v>
      </x:c>
      <x:c r="M20" t="str">
        <x:v>MAX + lookup or comparison</x:v>
      </x:c>
      <x:c r="N20" t="n">
        <x:v>4</x:v>
      </x:c>
      <x:c r="O20" s="68" t="str"/>
    </x:row>
    <x:row r="21">
      <x:c r="A21" t="str">
        <x:v>SO00017</x:v>
      </x:c>
      <x:c r="B21" s="76" t="n">
        <x:v>46040</x:v>
      </x:c>
      <x:c r="C21" t="str">
        <x:v>Douala Central</x:v>
      </x:c>
      <x:c r="D21" t="str">
        <x:v>PRD017</x:v>
      </x:c>
      <x:c r="E21" t="n">
        <x:v>3</x:v>
      </x:c>
      <x:c r="F21" s="72" t="n">
        <x:v>12350</x:v>
      </x:c>
      <x:c r="G21" s="72" t="n">
        <x:v>0</x:v>
      </x:c>
      <x:c r="H21" s="72" t="n">
        <x:v>37050</x:v>
      </x:c>
      <x:c r="I21" t="str">
        <x:v>Online</x:v>
      </x:c>
      <x:c r="J21" t="str">
        <x:v>Paid</x:v>
      </x:c>
      <x:c r="L21" t="str">
        <x:v>How many partial payments were recorded?</x:v>
      </x:c>
      <x:c r="M21" t="str">
        <x:v>COUNTIF</x:v>
      </x:c>
      <x:c r="N21" t="n">
        <x:v>3</x:v>
      </x:c>
      <x:c r="O21" s="68" t="str"/>
    </x:row>
    <x:row r="22">
      <x:c r="A22" t="str">
        <x:v>SO00018</x:v>
      </x:c>
      <x:c r="B22" s="76" t="n">
        <x:v>46041</x:v>
      </x:c>
      <x:c r="C22" t="str">
        <x:v>Yaounde Central</x:v>
      </x:c>
      <x:c r="D22" t="str">
        <x:v>PRD018</x:v>
      </x:c>
      <x:c r="E22" t="n">
        <x:v>4</x:v>
      </x:c>
      <x:c r="F22" s="72" t="n">
        <x:v>13000</x:v>
      </x:c>
      <x:c r="G22" s="72" t="n">
        <x:v>0</x:v>
      </x:c>
      <x:c r="H22" s="72" t="n">
        <x:v>52000</x:v>
      </x:c>
      <x:c r="I22" t="str">
        <x:v>Wholesale</x:v>
      </x:c>
      <x:c r="J22" t="str">
        <x:v>Paid</x:v>
      </x:c>
      <x:c r="L22" t="str">
        <x:v>What percentage of orders were paid in full?</x:v>
      </x:c>
      <x:c r="M22" t="str">
        <x:v>COUNTIF / COUNTA</x:v>
      </x:c>
      <x:c r="N22" t="n">
        <x:v>4</x:v>
      </x:c>
      <x:c r="O22" s="68" t="str"/>
    </x:row>
    <x:row r="23">
      <x:c r="A23" t="str">
        <x:v>SO00019</x:v>
      </x:c>
      <x:c r="B23" s="76" t="n">
        <x:v>46042</x:v>
      </x:c>
      <x:c r="C23" t="str">
        <x:v>Buea Branch</x:v>
      </x:c>
      <x:c r="D23" t="str">
        <x:v>PRD019</x:v>
      </x:c>
      <x:c r="E23" t="n">
        <x:v>5</x:v>
      </x:c>
      <x:c r="F23" s="72" t="n">
        <x:v>13650</x:v>
      </x:c>
      <x:c r="G23" s="72" t="n">
        <x:v>0</x:v>
      </x:c>
      <x:c r="H23" s="72" t="n">
        <x:v>68250</x:v>
      </x:c>
      <x:c r="I23" t="str">
        <x:v>Corporate</x:v>
      </x:c>
      <x:c r="J23" t="str">
        <x:v>Paid</x:v>
      </x:c>
    </x:row>
    <x:row r="24">
      <x:c r="A24" t="str">
        <x:v>SO00020</x:v>
      </x:c>
      <x:c r="B24" s="76" t="n">
        <x:v>46043</x:v>
      </x:c>
      <x:c r="C24" t="str">
        <x:v>Bafoussam Branch</x:v>
      </x:c>
      <x:c r="D24" t="str">
        <x:v>PRD020</x:v>
      </x:c>
      <x:c r="E24" t="n">
        <x:v>1</x:v>
      </x:c>
      <x:c r="F24" s="72" t="n">
        <x:v>14300</x:v>
      </x:c>
      <x:c r="G24" s="72" t="n">
        <x:v>715</x:v>
      </x:c>
      <x:c r="H24" s="72" t="n">
        <x:v>13585</x:v>
      </x:c>
      <x:c r="I24" t="str">
        <x:v>Store</x:v>
      </x:c>
      <x:c r="J24" t="str">
        <x:v>Paid</x:v>
      </x:c>
    </x:row>
    <x:row r="25">
      <x:c r="A25" t="str">
        <x:v>SO00021</x:v>
      </x:c>
      <x:c r="B25" s="76" t="n">
        <x:v>46044</x:v>
      </x:c>
      <x:c r="C25" t="str">
        <x:v>Douala Central</x:v>
      </x:c>
      <x:c r="D25" t="str">
        <x:v>PRD001</x:v>
      </x:c>
      <x:c r="E25" t="n">
        <x:v>2</x:v>
      </x:c>
      <x:c r="F25" s="72" t="n">
        <x:v>1950</x:v>
      </x:c>
      <x:c r="G25" s="72" t="n">
        <x:v>0</x:v>
      </x:c>
      <x:c r="H25" s="72" t="n">
        <x:v>3900</x:v>
      </x:c>
      <x:c r="I25" t="str">
        <x:v>Online</x:v>
      </x:c>
      <x:c r="J25" t="str">
        <x:v>Paid</x:v>
      </x:c>
    </x:row>
    <x:row r="26">
      <x:c r="A26" t="str">
        <x:v>SO00022</x:v>
      </x:c>
      <x:c r="B26" s="76" t="n">
        <x:v>46045</x:v>
      </x:c>
      <x:c r="C26" t="str">
        <x:v>Yaounde Central</x:v>
      </x:c>
      <x:c r="D26" t="str">
        <x:v>PRD002</x:v>
      </x:c>
      <x:c r="E26" t="n">
        <x:v>3</x:v>
      </x:c>
      <x:c r="F26" s="72" t="n">
        <x:v>2600</x:v>
      </x:c>
      <x:c r="G26" s="72" t="n">
        <x:v>0</x:v>
      </x:c>
      <x:c r="H26" s="72" t="n">
        <x:v>7800</x:v>
      </x:c>
      <x:c r="I26" t="str">
        <x:v>Wholesale</x:v>
      </x:c>
      <x:c r="J26" t="str">
        <x:v>Partial</x:v>
      </x:c>
    </x:row>
    <x:row r="27">
      <x:c r="A27" t="str">
        <x:v>SO00023</x:v>
      </x:c>
      <x:c r="B27" s="76" t="n">
        <x:v>46046</x:v>
      </x:c>
      <x:c r="C27" t="str">
        <x:v>Buea Branch</x:v>
      </x:c>
      <x:c r="D27" t="str">
        <x:v>PRD003</x:v>
      </x:c>
      <x:c r="E27" t="n">
        <x:v>4</x:v>
      </x:c>
      <x:c r="F27" s="72" t="n">
        <x:v>3250</x:v>
      </x:c>
      <x:c r="G27" s="72" t="n">
        <x:v>0</x:v>
      </x:c>
      <x:c r="H27" s="72" t="n">
        <x:v>13000</x:v>
      </x:c>
      <x:c r="I27" t="str">
        <x:v>Corporate</x:v>
      </x:c>
      <x:c r="J27" t="str">
        <x:v>Paid</x:v>
      </x:c>
    </x:row>
    <x:row r="28">
      <x:c r="A28" t="str">
        <x:v>SO00024</x:v>
      </x:c>
      <x:c r="B28" s="76" t="n">
        <x:v>46047</x:v>
      </x:c>
      <x:c r="C28" t="str">
        <x:v>Bafoussam Branch</x:v>
      </x:c>
      <x:c r="D28" t="str">
        <x:v>PRD004</x:v>
      </x:c>
      <x:c r="E28" t="n">
        <x:v>5</x:v>
      </x:c>
      <x:c r="F28" s="72" t="n">
        <x:v>3900</x:v>
      </x:c>
      <x:c r="G28" s="72" t="n">
        <x:v>0</x:v>
      </x:c>
      <x:c r="H28" s="72" t="n">
        <x:v>19500</x:v>
      </x:c>
      <x:c r="I28" t="str">
        <x:v>Store</x:v>
      </x:c>
      <x:c r="J28" t="str">
        <x:v>Paid</x:v>
      </x:c>
    </x:row>
    <x:row r="29">
      <x:c r="A29" t="str">
        <x:v>SO00025</x:v>
      </x:c>
      <x:c r="B29" s="76" t="n">
        <x:v>46048</x:v>
      </x:c>
      <x:c r="C29" t="str">
        <x:v>Douala Central</x:v>
      </x:c>
      <x:c r="D29" t="str">
        <x:v>PRD005</x:v>
      </x:c>
      <x:c r="E29" t="n">
        <x:v>1</x:v>
      </x:c>
      <x:c r="F29" s="72" t="n">
        <x:v>4550</x:v>
      </x:c>
      <x:c r="G29" s="72" t="n">
        <x:v>0</x:v>
      </x:c>
      <x:c r="H29" s="72" t="n">
        <x:v>4550</x:v>
      </x:c>
      <x:c r="I29" t="str">
        <x:v>Online</x:v>
      </x:c>
      <x:c r="J29" t="str">
        <x:v>Paid</x:v>
      </x:c>
    </x:row>
    <x:row r="30">
      <x:c r="A30" t="str">
        <x:v>SO00026</x:v>
      </x:c>
      <x:c r="B30" s="76" t="n">
        <x:v>46049</x:v>
      </x:c>
      <x:c r="C30" t="str">
        <x:v>Yaounde Central</x:v>
      </x:c>
      <x:c r="D30" t="str">
        <x:v>PRD006</x:v>
      </x:c>
      <x:c r="E30" t="n">
        <x:v>2</x:v>
      </x:c>
      <x:c r="F30" s="72" t="n">
        <x:v>5200</x:v>
      </x:c>
      <x:c r="G30" s="72" t="n">
        <x:v>0</x:v>
      </x:c>
      <x:c r="H30" s="72" t="n">
        <x:v>10400</x:v>
      </x:c>
      <x:c r="I30" t="str">
        <x:v>Wholesale</x:v>
      </x:c>
      <x:c r="J30" t="str">
        <x:v>Paid</x:v>
      </x:c>
    </x:row>
    <x:row r="31">
      <x:c r="A31" t="str">
        <x:v>SO00027</x:v>
      </x:c>
      <x:c r="B31" s="76" t="n">
        <x:v>46050</x:v>
      </x:c>
      <x:c r="C31" t="str">
        <x:v>Buea Branch</x:v>
      </x:c>
      <x:c r="D31" t="str">
        <x:v>PRD007</x:v>
      </x:c>
      <x:c r="E31" t="n">
        <x:v>3</x:v>
      </x:c>
      <x:c r="F31" s="72" t="n">
        <x:v>5850</x:v>
      </x:c>
      <x:c r="G31" s="72" t="n">
        <x:v>0</x:v>
      </x:c>
      <x:c r="H31" s="72" t="n">
        <x:v>17550</x:v>
      </x:c>
      <x:c r="I31" t="str">
        <x:v>Corporate</x:v>
      </x:c>
      <x:c r="J31" t="str">
        <x:v>Paid</x:v>
      </x:c>
    </x:row>
    <x:row r="32">
      <x:c r="A32" t="str">
        <x:v>SO00028</x:v>
      </x:c>
      <x:c r="B32" s="76" t="n">
        <x:v>46051</x:v>
      </x:c>
      <x:c r="C32" t="str">
        <x:v>Bafoussam Branch</x:v>
      </x:c>
      <x:c r="D32" t="str">
        <x:v>PRD008</x:v>
      </x:c>
      <x:c r="E32" t="n">
        <x:v>4</x:v>
      </x:c>
      <x:c r="F32" s="72" t="n">
        <x:v>6500</x:v>
      </x:c>
      <x:c r="G32" s="72" t="n">
        <x:v>0</x:v>
      </x:c>
      <x:c r="H32" s="72" t="n">
        <x:v>26000</x:v>
      </x:c>
      <x:c r="I32" t="str">
        <x:v>Store</x:v>
      </x:c>
      <x:c r="J32" t="str">
        <x:v>Paid</x:v>
      </x:c>
    </x:row>
    <x:row r="33">
      <x:c r="A33" t="str">
        <x:v>SO00029</x:v>
      </x:c>
      <x:c r="B33" s="76" t="n">
        <x:v>46052</x:v>
      </x:c>
      <x:c r="C33" t="str">
        <x:v>Douala Central</x:v>
      </x:c>
      <x:c r="D33" t="str">
        <x:v>PRD009</x:v>
      </x:c>
      <x:c r="E33" t="n">
        <x:v>5</x:v>
      </x:c>
      <x:c r="F33" s="72" t="n">
        <x:v>7150</x:v>
      </x:c>
      <x:c r="G33" s="72" t="n">
        <x:v>0</x:v>
      </x:c>
      <x:c r="H33" s="72" t="n">
        <x:v>35750</x:v>
      </x:c>
      <x:c r="I33" t="str">
        <x:v>Online</x:v>
      </x:c>
      <x:c r="J33" t="str">
        <x:v>Paid</x:v>
      </x:c>
    </x:row>
    <x:row r="34">
      <x:c r="A34" t="str">
        <x:v>SO00030</x:v>
      </x:c>
      <x:c r="B34" s="76" t="n">
        <x:v>46053</x:v>
      </x:c>
      <x:c r="C34" t="str">
        <x:v>Yaounde Central</x:v>
      </x:c>
      <x:c r="D34" t="str">
        <x:v>PRD010</x:v>
      </x:c>
      <x:c r="E34" t="n">
        <x:v>1</x:v>
      </x:c>
      <x:c r="F34" s="72" t="n">
        <x:v>7800</x:v>
      </x:c>
      <x:c r="G34" s="72" t="n">
        <x:v>390</x:v>
      </x:c>
      <x:c r="H34" s="72" t="n">
        <x:v>7410</x:v>
      </x:c>
      <x:c r="I34" t="str">
        <x:v>Wholesale</x:v>
      </x:c>
      <x:c r="J34" t="str">
        <x:v>Paid</x:v>
      </x:c>
    </x:row>
    <x:row r="35">
      <x:c r="A35" t="str">
        <x:v>SO00031</x:v>
      </x:c>
      <x:c r="B35" s="76" t="n">
        <x:v>46054</x:v>
      </x:c>
      <x:c r="C35" t="str">
        <x:v>Buea Branch</x:v>
      </x:c>
      <x:c r="D35" t="str">
        <x:v>PRD011</x:v>
      </x:c>
      <x:c r="E35" t="n">
        <x:v>2</x:v>
      </x:c>
      <x:c r="F35" s="72" t="n">
        <x:v>8450</x:v>
      </x:c>
      <x:c r="G35" s="72" t="n">
        <x:v>0</x:v>
      </x:c>
      <x:c r="H35" s="72" t="n">
        <x:v>16900</x:v>
      </x:c>
      <x:c r="I35" t="str">
        <x:v>Corporate</x:v>
      </x:c>
      <x:c r="J35" t="str">
        <x:v>Paid</x:v>
      </x:c>
    </x:row>
    <x:row r="36">
      <x:c r="A36" t="str">
        <x:v>SO00032</x:v>
      </x:c>
      <x:c r="B36" s="76" t="n">
        <x:v>46055</x:v>
      </x:c>
      <x:c r="C36" t="str">
        <x:v>Bafoussam Branch</x:v>
      </x:c>
      <x:c r="D36" t="str">
        <x:v>PRD012</x:v>
      </x:c>
      <x:c r="E36" t="n">
        <x:v>3</x:v>
      </x:c>
      <x:c r="F36" s="72" t="n">
        <x:v>9100</x:v>
      </x:c>
      <x:c r="G36" s="72" t="n">
        <x:v>0</x:v>
      </x:c>
      <x:c r="H36" s="72" t="n">
        <x:v>27300</x:v>
      </x:c>
      <x:c r="I36" t="str">
        <x:v>Store</x:v>
      </x:c>
      <x:c r="J36" t="str">
        <x:v>Paid</x:v>
      </x:c>
    </x:row>
    <x:row r="37">
      <x:c r="A37" t="str">
        <x:v>SO00033</x:v>
      </x:c>
      <x:c r="B37" s="76" t="n">
        <x:v>46056</x:v>
      </x:c>
      <x:c r="C37" t="str">
        <x:v>Douala Central</x:v>
      </x:c>
      <x:c r="D37" t="str">
        <x:v>PRD013</x:v>
      </x:c>
      <x:c r="E37" t="n">
        <x:v>4</x:v>
      </x:c>
      <x:c r="F37" s="72" t="n">
        <x:v>9750</x:v>
      </x:c>
      <x:c r="G37" s="72" t="n">
        <x:v>0</x:v>
      </x:c>
      <x:c r="H37" s="72" t="n">
        <x:v>39000</x:v>
      </x:c>
      <x:c r="I37" t="str">
        <x:v>Online</x:v>
      </x:c>
      <x:c r="J37" t="str">
        <x:v>Partial</x:v>
      </x:c>
    </x:row>
    <x:row r="38">
      <x:c r="A38" t="str">
        <x:v>SO00034</x:v>
      </x:c>
      <x:c r="B38" s="76" t="n">
        <x:v>46057</x:v>
      </x:c>
      <x:c r="C38" t="str">
        <x:v>Yaounde Central</x:v>
      </x:c>
      <x:c r="D38" t="str">
        <x:v>PRD014</x:v>
      </x:c>
      <x:c r="E38" t="n">
        <x:v>5</x:v>
      </x:c>
      <x:c r="F38" s="72" t="n">
        <x:v>10400</x:v>
      </x:c>
      <x:c r="G38" s="72" t="n">
        <x:v>0</x:v>
      </x:c>
      <x:c r="H38" s="72" t="n">
        <x:v>52000</x:v>
      </x:c>
      <x:c r="I38" t="str">
        <x:v>Wholesale</x:v>
      </x:c>
      <x:c r="J38" t="str">
        <x:v>Paid</x:v>
      </x:c>
    </x:row>
    <x:row r="39">
      <x:c r="A39" t="str">
        <x:v>SO00035</x:v>
      </x:c>
      <x:c r="B39" s="76" t="n">
        <x:v>46058</x:v>
      </x:c>
      <x:c r="C39" t="str">
        <x:v>Buea Branch</x:v>
      </x:c>
      <x:c r="D39" t="str">
        <x:v>PRD015</x:v>
      </x:c>
      <x:c r="E39" t="n">
        <x:v>1</x:v>
      </x:c>
      <x:c r="F39" s="72" t="n">
        <x:v>11050</x:v>
      </x:c>
      <x:c r="G39" s="72" t="n">
        <x:v>0</x:v>
      </x:c>
      <x:c r="H39" s="72" t="n">
        <x:v>11050</x:v>
      </x:c>
      <x:c r="I39" t="str">
        <x:v>Corporate</x:v>
      </x:c>
      <x:c r="J39" t="str">
        <x:v>Paid</x:v>
      </x:c>
    </x:row>
    <x:row r="40">
      <x:c r="A40" t="str">
        <x:v>SO00036</x:v>
      </x:c>
      <x:c r="B40" s="76" t="n">
        <x:v>46059</x:v>
      </x:c>
      <x:c r="C40" t="str">
        <x:v>Bafoussam Branch</x:v>
      </x:c>
      <x:c r="D40" t="str">
        <x:v>PRD016</x:v>
      </x:c>
      <x:c r="E40" t="n">
        <x:v>2</x:v>
      </x:c>
      <x:c r="F40" s="72" t="n">
        <x:v>11700</x:v>
      </x:c>
      <x:c r="G40" s="72" t="n">
        <x:v>0</x:v>
      </x:c>
      <x:c r="H40" s="72" t="n">
        <x:v>23400</x:v>
      </x:c>
      <x:c r="I40" t="str">
        <x:v>Store</x:v>
      </x:c>
      <x:c r="J40" t="str">
        <x:v>Paid</x:v>
      </x:c>
    </x:row>
    <x:row r="41">
      <x:c r="A41" t="str">
        <x:v>SO00037</x:v>
      </x:c>
      <x:c r="B41" s="76" t="n">
        <x:v>46060</x:v>
      </x:c>
      <x:c r="C41" t="str">
        <x:v>Douala Central</x:v>
      </x:c>
      <x:c r="D41" t="str">
        <x:v>PRD017</x:v>
      </x:c>
      <x:c r="E41" t="n">
        <x:v>3</x:v>
      </x:c>
      <x:c r="F41" s="72" t="n">
        <x:v>12350</x:v>
      </x:c>
      <x:c r="G41" s="72" t="n">
        <x:v>0</x:v>
      </x:c>
      <x:c r="H41" s="72" t="n">
        <x:v>37050</x:v>
      </x:c>
      <x:c r="I41" t="str">
        <x:v>Online</x:v>
      </x:c>
      <x:c r="J41" t="str">
        <x:v>Paid</x:v>
      </x:c>
    </x:row>
    <x:row r="42">
      <x:c r="A42" t="str">
        <x:v>SO00038</x:v>
      </x:c>
      <x:c r="B42" s="76" t="n">
        <x:v>46061</x:v>
      </x:c>
      <x:c r="C42" t="str">
        <x:v>Yaounde Central</x:v>
      </x:c>
      <x:c r="D42" t="str">
        <x:v>PRD018</x:v>
      </x:c>
      <x:c r="E42" t="n">
        <x:v>4</x:v>
      </x:c>
      <x:c r="F42" s="72" t="n">
        <x:v>13000</x:v>
      </x:c>
      <x:c r="G42" s="72" t="n">
        <x:v>0</x:v>
      </x:c>
      <x:c r="H42" s="72" t="n">
        <x:v>52000</x:v>
      </x:c>
      <x:c r="I42" t="str">
        <x:v>Wholesale</x:v>
      </x:c>
      <x:c r="J42" t="str">
        <x:v>Paid</x:v>
      </x:c>
    </x:row>
    <x:row r="43">
      <x:c r="A43" t="str">
        <x:v>SO00039</x:v>
      </x:c>
      <x:c r="B43" s="76" t="n">
        <x:v>46062</x:v>
      </x:c>
      <x:c r="C43" t="str">
        <x:v>Buea Branch</x:v>
      </x:c>
      <x:c r="D43" t="str">
        <x:v>PRD019</x:v>
      </x:c>
      <x:c r="E43" t="n">
        <x:v>5</x:v>
      </x:c>
      <x:c r="F43" s="72" t="n">
        <x:v>13650</x:v>
      </x:c>
      <x:c r="G43" s="72" t="n">
        <x:v>0</x:v>
      </x:c>
      <x:c r="H43" s="72" t="n">
        <x:v>68250</x:v>
      </x:c>
      <x:c r="I43" t="str">
        <x:v>Corporate</x:v>
      </x:c>
      <x:c r="J43" t="str">
        <x:v>Paid</x:v>
      </x:c>
    </x:row>
    <x:row r="44">
      <x:c r="A44" t="str">
        <x:v>SO00040</x:v>
      </x:c>
      <x:c r="B44" s="76" t="n">
        <x:v>46063</x:v>
      </x:c>
      <x:c r="C44" t="str">
        <x:v>Bafoussam Branch</x:v>
      </x:c>
      <x:c r="D44" t="str">
        <x:v>PRD020</x:v>
      </x:c>
      <x:c r="E44" t="n">
        <x:v>1</x:v>
      </x:c>
      <x:c r="F44" s="72" t="n">
        <x:v>14300</x:v>
      </x:c>
      <x:c r="G44" s="72" t="n">
        <x:v>715</x:v>
      </x:c>
      <x:c r="H44" s="72" t="n">
        <x:v>13585</x:v>
      </x:c>
      <x:c r="I44" t="str">
        <x:v>Store</x:v>
      </x:c>
      <x:c r="J44" t="str">
        <x:v>Paid</x:v>
      </x:c>
    </x:row>
    <x:row r="45">
      <x:c r="A45" t="str">
        <x:v>SO00041</x:v>
      </x:c>
      <x:c r="B45" s="76" t="n">
        <x:v>46064</x:v>
      </x:c>
      <x:c r="C45" t="str">
        <x:v>Douala Central</x:v>
      </x:c>
      <x:c r="D45" t="str">
        <x:v>PRD001</x:v>
      </x:c>
      <x:c r="E45" t="n">
        <x:v>2</x:v>
      </x:c>
      <x:c r="F45" s="72" t="n">
        <x:v>1950</x:v>
      </x:c>
      <x:c r="G45" s="72" t="n">
        <x:v>0</x:v>
      </x:c>
      <x:c r="H45" s="72" t="n">
        <x:v>3900</x:v>
      </x:c>
      <x:c r="I45" t="str">
        <x:v>Online</x:v>
      </x:c>
      <x:c r="J45" t="str">
        <x:v>Paid</x:v>
      </x:c>
    </x:row>
    <x:row r="46">
      <x:c r="A46" t="str">
        <x:v>SO00042</x:v>
      </x:c>
      <x:c r="B46" s="76" t="n">
        <x:v>46065</x:v>
      </x:c>
      <x:c r="C46" t="str">
        <x:v>Yaounde Central</x:v>
      </x:c>
      <x:c r="D46" t="str">
        <x:v>PRD002</x:v>
      </x:c>
      <x:c r="E46" t="n">
        <x:v>3</x:v>
      </x:c>
      <x:c r="F46" s="72" t="n">
        <x:v>2600</x:v>
      </x:c>
      <x:c r="G46" s="72" t="n">
        <x:v>0</x:v>
      </x:c>
      <x:c r="H46" s="72" t="n">
        <x:v>7800</x:v>
      </x:c>
      <x:c r="I46" t="str">
        <x:v>Wholesale</x:v>
      </x:c>
      <x:c r="J46" t="str">
        <x:v>Paid</x:v>
      </x:c>
    </x:row>
    <x:row r="47">
      <x:c r="A47" t="str">
        <x:v>SO00043</x:v>
      </x:c>
      <x:c r="B47" s="76" t="n">
        <x:v>46066</x:v>
      </x:c>
      <x:c r="C47" t="str">
        <x:v>Buea Branch</x:v>
      </x:c>
      <x:c r="D47" t="str">
        <x:v>PRD003</x:v>
      </x:c>
      <x:c r="E47" t="n">
        <x:v>4</x:v>
      </x:c>
      <x:c r="F47" s="72" t="n">
        <x:v>3250</x:v>
      </x:c>
      <x:c r="G47" s="72" t="n">
        <x:v>0</x:v>
      </x:c>
      <x:c r="H47" s="72" t="n">
        <x:v>13000</x:v>
      </x:c>
      <x:c r="I47" t="str">
        <x:v>Corporate</x:v>
      </x:c>
      <x:c r="J47" t="str">
        <x:v>Paid</x:v>
      </x:c>
    </x:row>
    <x:row r="48">
      <x:c r="A48" t="str">
        <x:v>SO00044</x:v>
      </x:c>
      <x:c r="B48" s="76" t="n">
        <x:v>46067</x:v>
      </x:c>
      <x:c r="C48" t="str">
        <x:v>Bafoussam Branch</x:v>
      </x:c>
      <x:c r="D48" t="str">
        <x:v>PRD004</x:v>
      </x:c>
      <x:c r="E48" t="n">
        <x:v>5</x:v>
      </x:c>
      <x:c r="F48" s="72" t="n">
        <x:v>3900</x:v>
      </x:c>
      <x:c r="G48" s="72" t="n">
        <x:v>0</x:v>
      </x:c>
      <x:c r="H48" s="72" t="n">
        <x:v>19500</x:v>
      </x:c>
      <x:c r="I48" t="str">
        <x:v>Store</x:v>
      </x:c>
      <x:c r="J48" t="str">
        <x:v>Partial</x:v>
      </x:c>
    </x:row>
    <x:row r="49">
      <x:c r="A49" t="str">
        <x:v>SO00045</x:v>
      </x:c>
      <x:c r="B49" s="76" t="n">
        <x:v>46068</x:v>
      </x:c>
      <x:c r="C49" t="str">
        <x:v>Douala Central</x:v>
      </x:c>
      <x:c r="D49" t="str">
        <x:v>PRD005</x:v>
      </x:c>
      <x:c r="E49" t="n">
        <x:v>1</x:v>
      </x:c>
      <x:c r="F49" s="72" t="n">
        <x:v>4550</x:v>
      </x:c>
      <x:c r="G49" s="72" t="n">
        <x:v>0</x:v>
      </x:c>
      <x:c r="H49" s="72" t="n">
        <x:v>4550</x:v>
      </x:c>
      <x:c r="I49" t="str">
        <x:v>Online</x:v>
      </x:c>
      <x:c r="J49" t="str">
        <x:v>Paid</x:v>
      </x:c>
    </x:row>
    <x:row r="50">
      <x:c r="A50" t="str">
        <x:v>SO00046</x:v>
      </x:c>
      <x:c r="B50" s="76" t="n">
        <x:v>46069</x:v>
      </x:c>
      <x:c r="C50" t="str">
        <x:v>Yaounde Central</x:v>
      </x:c>
      <x:c r="D50" t="str">
        <x:v>PRD006</x:v>
      </x:c>
      <x:c r="E50" t="n">
        <x:v>2</x:v>
      </x:c>
      <x:c r="F50" s="72" t="n">
        <x:v>5200</x:v>
      </x:c>
      <x:c r="G50" s="72" t="n">
        <x:v>0</x:v>
      </x:c>
      <x:c r="H50" s="72" t="n">
        <x:v>10400</x:v>
      </x:c>
      <x:c r="I50" t="str">
        <x:v>Wholesale</x:v>
      </x:c>
      <x:c r="J50" t="str">
        <x:v>Paid</x:v>
      </x:c>
    </x:row>
    <x:row r="51">
      <x:c r="A51" t="str">
        <x:v>SO00047</x:v>
      </x:c>
      <x:c r="B51" s="76" t="n">
        <x:v>46070</x:v>
      </x:c>
      <x:c r="C51" t="str">
        <x:v>Buea Branch</x:v>
      </x:c>
      <x:c r="D51" t="str">
        <x:v>PRD007</x:v>
      </x:c>
      <x:c r="E51" t="n">
        <x:v>3</x:v>
      </x:c>
      <x:c r="F51" s="72" t="n">
        <x:v>5850</x:v>
      </x:c>
      <x:c r="G51" s="72" t="n">
        <x:v>0</x:v>
      </x:c>
      <x:c r="H51" s="72" t="n">
        <x:v>17550</x:v>
      </x:c>
      <x:c r="I51" t="str">
        <x:v>Corporate</x:v>
      </x:c>
      <x:c r="J51" t="str">
        <x:v>Paid</x:v>
      </x:c>
    </x:row>
    <x:row r="52">
      <x:c r="A52" t="str">
        <x:v>SO00048</x:v>
      </x:c>
      <x:c r="B52" s="76" t="n">
        <x:v>46071</x:v>
      </x:c>
      <x:c r="C52" t="str">
        <x:v>Bafoussam Branch</x:v>
      </x:c>
      <x:c r="D52" t="str">
        <x:v>PRD008</x:v>
      </x:c>
      <x:c r="E52" t="n">
        <x:v>4</x:v>
      </x:c>
      <x:c r="F52" s="72" t="n">
        <x:v>6500</x:v>
      </x:c>
      <x:c r="G52" s="72" t="n">
        <x:v>0</x:v>
      </x:c>
      <x:c r="H52" s="72" t="n">
        <x:v>26000</x:v>
      </x:c>
      <x:c r="I52" t="str">
        <x:v>Store</x:v>
      </x:c>
      <x:c r="J52" t="str">
        <x:v>Paid</x:v>
      </x:c>
    </x:row>
    <x:row r="53">
      <x:c r="A53" t="str">
        <x:v>SO00049</x:v>
      </x:c>
      <x:c r="B53" s="76" t="n">
        <x:v>46072</x:v>
      </x:c>
      <x:c r="C53" t="str">
        <x:v>Douala Central</x:v>
      </x:c>
      <x:c r="D53" t="str">
        <x:v>PRD009</x:v>
      </x:c>
      <x:c r="E53" t="n">
        <x:v>5</x:v>
      </x:c>
      <x:c r="F53" s="72" t="n">
        <x:v>7150</x:v>
      </x:c>
      <x:c r="G53" s="72" t="n">
        <x:v>0</x:v>
      </x:c>
      <x:c r="H53" s="72" t="n">
        <x:v>35750</x:v>
      </x:c>
      <x:c r="I53" t="str">
        <x:v>Online</x:v>
      </x:c>
      <x:c r="J53" t="str">
        <x:v>Paid</x:v>
      </x:c>
    </x:row>
    <x:row r="54">
      <x:c r="A54" t="str">
        <x:v>SO00050</x:v>
      </x:c>
      <x:c r="B54" s="76" t="n">
        <x:v>46073</x:v>
      </x:c>
      <x:c r="C54" t="str">
        <x:v>Yaounde Central</x:v>
      </x:c>
      <x:c r="D54" t="str">
        <x:v>PRD010</x:v>
      </x:c>
      <x:c r="E54" t="n">
        <x:v>1</x:v>
      </x:c>
      <x:c r="F54" s="72" t="n">
        <x:v>7800</x:v>
      </x:c>
      <x:c r="G54" s="72" t="n">
        <x:v>390</x:v>
      </x:c>
      <x:c r="H54" s="72" t="n">
        <x:v>7410</x:v>
      </x:c>
      <x:c r="I54" t="str">
        <x:v>Wholesale</x:v>
      </x:c>
      <x:c r="J54" t="str">
        <x:v>Paid</x:v>
      </x:c>
    </x:row>
    <x:row r="55">
      <x:c r="A55" t="str">
        <x:v>SO00051</x:v>
      </x:c>
      <x:c r="B55" s="76" t="n">
        <x:v>46074</x:v>
      </x:c>
      <x:c r="C55" t="str">
        <x:v>Buea Branch</x:v>
      </x:c>
      <x:c r="D55" t="str">
        <x:v>PRD011</x:v>
      </x:c>
      <x:c r="E55" t="n">
        <x:v>2</x:v>
      </x:c>
      <x:c r="F55" s="72" t="n">
        <x:v>8450</x:v>
      </x:c>
      <x:c r="G55" s="72" t="n">
        <x:v>0</x:v>
      </x:c>
      <x:c r="H55" s="72" t="n">
        <x:v>16900</x:v>
      </x:c>
      <x:c r="I55" t="str">
        <x:v>Corporate</x:v>
      </x:c>
      <x:c r="J55" t="str">
        <x:v>Paid</x:v>
      </x:c>
    </x:row>
    <x:row r="56">
      <x:c r="A56" t="str">
        <x:v>SO00052</x:v>
      </x:c>
      <x:c r="B56" s="76" t="n">
        <x:v>46075</x:v>
      </x:c>
      <x:c r="C56" t="str">
        <x:v>Bafoussam Branch</x:v>
      </x:c>
      <x:c r="D56" t="str">
        <x:v>PRD012</x:v>
      </x:c>
      <x:c r="E56" t="n">
        <x:v>3</x:v>
      </x:c>
      <x:c r="F56" s="72" t="n">
        <x:v>9100</x:v>
      </x:c>
      <x:c r="G56" s="72" t="n">
        <x:v>0</x:v>
      </x:c>
      <x:c r="H56" s="72" t="n">
        <x:v>27300</x:v>
      </x:c>
      <x:c r="I56" t="str">
        <x:v>Store</x:v>
      </x:c>
      <x:c r="J56" t="str">
        <x:v>Paid</x:v>
      </x:c>
    </x:row>
    <x:row r="57">
      <x:c r="A57" t="str">
        <x:v>SO00053</x:v>
      </x:c>
      <x:c r="B57" s="76" t="n">
        <x:v>46076</x:v>
      </x:c>
      <x:c r="C57" t="str">
        <x:v>Douala Central</x:v>
      </x:c>
      <x:c r="D57" t="str">
        <x:v>PRD013</x:v>
      </x:c>
      <x:c r="E57" t="n">
        <x:v>4</x:v>
      </x:c>
      <x:c r="F57" s="72" t="n">
        <x:v>9750</x:v>
      </x:c>
      <x:c r="G57" s="72" t="n">
        <x:v>0</x:v>
      </x:c>
      <x:c r="H57" s="72" t="n">
        <x:v>39000</x:v>
      </x:c>
      <x:c r="I57" t="str">
        <x:v>Online</x:v>
      </x:c>
      <x:c r="J57" t="str">
        <x:v>Paid</x:v>
      </x:c>
    </x:row>
    <x:row r="58">
      <x:c r="A58" t="str">
        <x:v>SO00054</x:v>
      </x:c>
      <x:c r="B58" s="76" t="n">
        <x:v>46077</x:v>
      </x:c>
      <x:c r="C58" t="str">
        <x:v>Yaounde Central</x:v>
      </x:c>
      <x:c r="D58" t="str">
        <x:v>PRD014</x:v>
      </x:c>
      <x:c r="E58" t="n">
        <x:v>5</x:v>
      </x:c>
      <x:c r="F58" s="72" t="n">
        <x:v>10400</x:v>
      </x:c>
      <x:c r="G58" s="72" t="n">
        <x:v>0</x:v>
      </x:c>
      <x:c r="H58" s="72" t="n">
        <x:v>52000</x:v>
      </x:c>
      <x:c r="I58" t="str">
        <x:v>Wholesale</x:v>
      </x:c>
      <x:c r="J58" t="str">
        <x:v>Paid</x:v>
      </x:c>
    </x:row>
    <x:row r="59">
      <x:c r="A59" t="str">
        <x:v>SO00055</x:v>
      </x:c>
      <x:c r="B59" s="76" t="n">
        <x:v>46078</x:v>
      </x:c>
      <x:c r="C59" t="str">
        <x:v>Buea Branch</x:v>
      </x:c>
      <x:c r="D59" t="str">
        <x:v>PRD015</x:v>
      </x:c>
      <x:c r="E59" t="n">
        <x:v>1</x:v>
      </x:c>
      <x:c r="F59" s="72" t="n">
        <x:v>11050</x:v>
      </x:c>
      <x:c r="G59" s="72" t="n">
        <x:v>0</x:v>
      </x:c>
      <x:c r="H59" s="72" t="n">
        <x:v>11050</x:v>
      </x:c>
      <x:c r="I59" t="str">
        <x:v>Corporate</x:v>
      </x:c>
      <x:c r="J59" t="str">
        <x:v>Partial</x:v>
      </x:c>
    </x:row>
    <x:row r="60">
      <x:c r="A60" t="str">
        <x:v>SO00056</x:v>
      </x:c>
      <x:c r="B60" s="76" t="n">
        <x:v>46079</x:v>
      </x:c>
      <x:c r="C60" t="str">
        <x:v>Bafoussam Branch</x:v>
      </x:c>
      <x:c r="D60" t="str">
        <x:v>PRD016</x:v>
      </x:c>
      <x:c r="E60" t="n">
        <x:v>2</x:v>
      </x:c>
      <x:c r="F60" s="72" t="n">
        <x:v>11700</x:v>
      </x:c>
      <x:c r="G60" s="72" t="n">
        <x:v>0</x:v>
      </x:c>
      <x:c r="H60" s="72" t="n">
        <x:v>23400</x:v>
      </x:c>
      <x:c r="I60" t="str">
        <x:v>Store</x:v>
      </x:c>
      <x:c r="J60" t="str">
        <x:v>Paid</x:v>
      </x:c>
    </x:row>
    <x:row r="61">
      <x:c r="A61" t="str">
        <x:v>SO00057</x:v>
      </x:c>
      <x:c r="B61" s="76" t="n">
        <x:v>46080</x:v>
      </x:c>
      <x:c r="C61" t="str">
        <x:v>Douala Central</x:v>
      </x:c>
      <x:c r="D61" t="str">
        <x:v>PRD017</x:v>
      </x:c>
      <x:c r="E61" t="n">
        <x:v>3</x:v>
      </x:c>
      <x:c r="F61" s="72" t="n">
        <x:v>12350</x:v>
      </x:c>
      <x:c r="G61" s="72" t="n">
        <x:v>0</x:v>
      </x:c>
      <x:c r="H61" s="72" t="n">
        <x:v>37050</x:v>
      </x:c>
      <x:c r="I61" t="str">
        <x:v>Online</x:v>
      </x:c>
      <x:c r="J61" t="str">
        <x:v>Paid</x:v>
      </x:c>
    </x:row>
    <x:row r="62">
      <x:c r="A62" t="str">
        <x:v>SO00058</x:v>
      </x:c>
      <x:c r="B62" s="76" t="n">
        <x:v>46081</x:v>
      </x:c>
      <x:c r="C62" t="str">
        <x:v>Yaounde Central</x:v>
      </x:c>
      <x:c r="D62" t="str">
        <x:v>PRD018</x:v>
      </x:c>
      <x:c r="E62" t="n">
        <x:v>4</x:v>
      </x:c>
      <x:c r="F62" s="72" t="n">
        <x:v>13000</x:v>
      </x:c>
      <x:c r="G62" s="72" t="n">
        <x:v>0</x:v>
      </x:c>
      <x:c r="H62" s="72" t="n">
        <x:v>52000</x:v>
      </x:c>
      <x:c r="I62" t="str">
        <x:v>Wholesale</x:v>
      </x:c>
      <x:c r="J62" t="str">
        <x:v>Paid</x:v>
      </x:c>
    </x:row>
    <x:row r="63">
      <x:c r="A63" t="str">
        <x:v>SO00059</x:v>
      </x:c>
      <x:c r="B63" s="76" t="n">
        <x:v>46082</x:v>
      </x:c>
      <x:c r="C63" t="str">
        <x:v>Buea Branch</x:v>
      </x:c>
      <x:c r="D63" t="str">
        <x:v>PRD019</x:v>
      </x:c>
      <x:c r="E63" t="n">
        <x:v>5</x:v>
      </x:c>
      <x:c r="F63" s="72" t="n">
        <x:v>13650</x:v>
      </x:c>
      <x:c r="G63" s="72" t="n">
        <x:v>0</x:v>
      </x:c>
      <x:c r="H63" s="72" t="n">
        <x:v>68250</x:v>
      </x:c>
      <x:c r="I63" t="str">
        <x:v>Corporate</x:v>
      </x:c>
      <x:c r="J63" t="str">
        <x:v>Paid</x:v>
      </x:c>
    </x:row>
    <x:row r="64">
      <x:c r="A64" t="str">
        <x:v>SO00060</x:v>
      </x:c>
      <x:c r="B64" s="76" t="n">
        <x:v>46083</x:v>
      </x:c>
      <x:c r="C64" t="str">
        <x:v>Bafoussam Branch</x:v>
      </x:c>
      <x:c r="D64" t="str">
        <x:v>PRD020</x:v>
      </x:c>
      <x:c r="E64" t="n">
        <x:v>1</x:v>
      </x:c>
      <x:c r="F64" s="72" t="n">
        <x:v>14300</x:v>
      </x:c>
      <x:c r="G64" s="72" t="n">
        <x:v>715</x:v>
      </x:c>
      <x:c r="H64" s="72" t="n">
        <x:v>13585</x:v>
      </x:c>
      <x:c r="I64" t="str">
        <x:v>Store</x:v>
      </x:c>
      <x:c r="J64" t="str">
        <x:v>Paid</x:v>
      </x:c>
    </x:row>
    <x:row r="65">
      <x:c r="A65" t="str">
        <x:v>SO00061</x:v>
      </x:c>
      <x:c r="B65" s="76" t="n">
        <x:v>46084</x:v>
      </x:c>
      <x:c r="C65" t="str">
        <x:v>Douala Central</x:v>
      </x:c>
      <x:c r="D65" t="str">
        <x:v>PRD001</x:v>
      </x:c>
      <x:c r="E65" t="n">
        <x:v>2</x:v>
      </x:c>
      <x:c r="F65" s="72" t="n">
        <x:v>1950</x:v>
      </x:c>
      <x:c r="G65" s="72" t="n">
        <x:v>0</x:v>
      </x:c>
      <x:c r="H65" s="72" t="n">
        <x:v>3900</x:v>
      </x:c>
      <x:c r="I65" t="str">
        <x:v>Online</x:v>
      </x:c>
      <x:c r="J65" t="str">
        <x:v>Paid</x:v>
      </x:c>
    </x:row>
    <x:row r="66">
      <x:c r="A66" t="str">
        <x:v>SO00062</x:v>
      </x:c>
      <x:c r="B66" s="76" t="n">
        <x:v>46085</x:v>
      </x:c>
      <x:c r="C66" t="str">
        <x:v>Yaounde Central</x:v>
      </x:c>
      <x:c r="D66" t="str">
        <x:v>PRD002</x:v>
      </x:c>
      <x:c r="E66" t="n">
        <x:v>3</x:v>
      </x:c>
      <x:c r="F66" s="72" t="n">
        <x:v>2600</x:v>
      </x:c>
      <x:c r="G66" s="72" t="n">
        <x:v>0</x:v>
      </x:c>
      <x:c r="H66" s="72" t="n">
        <x:v>7800</x:v>
      </x:c>
      <x:c r="I66" t="str">
        <x:v>Wholesale</x:v>
      </x:c>
      <x:c r="J66" t="str">
        <x:v>Paid</x:v>
      </x:c>
    </x:row>
    <x:row r="67">
      <x:c r="A67" t="str">
        <x:v>SO00063</x:v>
      </x:c>
      <x:c r="B67" s="76" t="n">
        <x:v>46086</x:v>
      </x:c>
      <x:c r="C67" t="str">
        <x:v>Buea Branch</x:v>
      </x:c>
      <x:c r="D67" t="str">
        <x:v>PRD003</x:v>
      </x:c>
      <x:c r="E67" t="n">
        <x:v>4</x:v>
      </x:c>
      <x:c r="F67" s="72" t="n">
        <x:v>3250</x:v>
      </x:c>
      <x:c r="G67" s="72" t="n">
        <x:v>0</x:v>
      </x:c>
      <x:c r="H67" s="72" t="n">
        <x:v>13000</x:v>
      </x:c>
      <x:c r="I67" t="str">
        <x:v>Corporate</x:v>
      </x:c>
      <x:c r="J67" t="str">
        <x:v>Paid</x:v>
      </x:c>
    </x:row>
    <x:row r="68">
      <x:c r="A68" t="str">
        <x:v>SO00064</x:v>
      </x:c>
      <x:c r="B68" s="76" t="n">
        <x:v>46087</x:v>
      </x:c>
      <x:c r="C68" t="str">
        <x:v>Bafoussam Branch</x:v>
      </x:c>
      <x:c r="D68" t="str">
        <x:v>PRD004</x:v>
      </x:c>
      <x:c r="E68" t="n">
        <x:v>5</x:v>
      </x:c>
      <x:c r="F68" s="72" t="n">
        <x:v>3900</x:v>
      </x:c>
      <x:c r="G68" s="72" t="n">
        <x:v>0</x:v>
      </x:c>
      <x:c r="H68" s="72" t="n">
        <x:v>19500</x:v>
      </x:c>
      <x:c r="I68" t="str">
        <x:v>Store</x:v>
      </x:c>
      <x:c r="J68" t="str">
        <x:v>Paid</x:v>
      </x:c>
    </x:row>
    <x:row r="69">
      <x:c r="A69" t="str">
        <x:v>SO00065</x:v>
      </x:c>
      <x:c r="B69" s="76" t="n">
        <x:v>46088</x:v>
      </x:c>
      <x:c r="C69" t="str">
        <x:v>Douala Central</x:v>
      </x:c>
      <x:c r="D69" t="str">
        <x:v>PRD005</x:v>
      </x:c>
      <x:c r="E69" t="n">
        <x:v>1</x:v>
      </x:c>
      <x:c r="F69" s="72" t="n">
        <x:v>4550</x:v>
      </x:c>
      <x:c r="G69" s="72" t="n">
        <x:v>0</x:v>
      </x:c>
      <x:c r="H69" s="72" t="n">
        <x:v>4550</x:v>
      </x:c>
      <x:c r="I69" t="str">
        <x:v>Online</x:v>
      </x:c>
      <x:c r="J69" t="str">
        <x:v>Paid</x:v>
      </x:c>
    </x:row>
    <x:row r="70">
      <x:c r="A70" t="str">
        <x:v>SO00066</x:v>
      </x:c>
      <x:c r="B70" s="76" t="n">
        <x:v>46089</x:v>
      </x:c>
      <x:c r="C70" t="str">
        <x:v>Yaounde Central</x:v>
      </x:c>
      <x:c r="D70" t="str">
        <x:v>PRD006</x:v>
      </x:c>
      <x:c r="E70" t="n">
        <x:v>2</x:v>
      </x:c>
      <x:c r="F70" s="72" t="n">
        <x:v>5200</x:v>
      </x:c>
      <x:c r="G70" s="72" t="n">
        <x:v>0</x:v>
      </x:c>
      <x:c r="H70" s="72" t="n">
        <x:v>10400</x:v>
      </x:c>
      <x:c r="I70" t="str">
        <x:v>Wholesale</x:v>
      </x:c>
      <x:c r="J70" t="str">
        <x:v>Partial</x:v>
      </x:c>
    </x:row>
    <x:row r="71">
      <x:c r="A71" t="str">
        <x:v>SO00067</x:v>
      </x:c>
      <x:c r="B71" s="76" t="n">
        <x:v>46090</x:v>
      </x:c>
      <x:c r="C71" t="str">
        <x:v>Buea Branch</x:v>
      </x:c>
      <x:c r="D71" t="str">
        <x:v>PRD007</x:v>
      </x:c>
      <x:c r="E71" t="n">
        <x:v>3</x:v>
      </x:c>
      <x:c r="F71" s="72" t="n">
        <x:v>5850</x:v>
      </x:c>
      <x:c r="G71" s="72" t="n">
        <x:v>0</x:v>
      </x:c>
      <x:c r="H71" s="72" t="n">
        <x:v>17550</x:v>
      </x:c>
      <x:c r="I71" t="str">
        <x:v>Corporate</x:v>
      </x:c>
      <x:c r="J71" t="str">
        <x:v>Paid</x:v>
      </x:c>
    </x:row>
    <x:row r="72">
      <x:c r="A72" t="str">
        <x:v>SO00068</x:v>
      </x:c>
      <x:c r="B72" s="76" t="n">
        <x:v>46091</x:v>
      </x:c>
      <x:c r="C72" t="str">
        <x:v>Bafoussam Branch</x:v>
      </x:c>
      <x:c r="D72" t="str">
        <x:v>PRD008</x:v>
      </x:c>
      <x:c r="E72" t="n">
        <x:v>4</x:v>
      </x:c>
      <x:c r="F72" s="72" t="n">
        <x:v>6500</x:v>
      </x:c>
      <x:c r="G72" s="72" t="n">
        <x:v>0</x:v>
      </x:c>
      <x:c r="H72" s="72" t="n">
        <x:v>26000</x:v>
      </x:c>
      <x:c r="I72" t="str">
        <x:v>Store</x:v>
      </x:c>
      <x:c r="J72" t="str">
        <x:v>Paid</x:v>
      </x:c>
    </x:row>
    <x:row r="73">
      <x:c r="A73" t="str">
        <x:v>SO00069</x:v>
      </x:c>
      <x:c r="B73" s="76" t="n">
        <x:v>46092</x:v>
      </x:c>
      <x:c r="C73" t="str">
        <x:v>Douala Central</x:v>
      </x:c>
      <x:c r="D73" t="str">
        <x:v>PRD009</x:v>
      </x:c>
      <x:c r="E73" t="n">
        <x:v>5</x:v>
      </x:c>
      <x:c r="F73" s="72" t="n">
        <x:v>7150</x:v>
      </x:c>
      <x:c r="G73" s="72" t="n">
        <x:v>0</x:v>
      </x:c>
      <x:c r="H73" s="72" t="n">
        <x:v>35750</x:v>
      </x:c>
      <x:c r="I73" t="str">
        <x:v>Online</x:v>
      </x:c>
      <x:c r="J73" t="str">
        <x:v>Paid</x:v>
      </x:c>
    </x:row>
    <x:row r="74">
      <x:c r="A74" t="str">
        <x:v>SO00070</x:v>
      </x:c>
      <x:c r="B74" s="76" t="n">
        <x:v>46093</x:v>
      </x:c>
      <x:c r="C74" t="str">
        <x:v>Yaounde Central</x:v>
      </x:c>
      <x:c r="D74" t="str">
        <x:v>PRD010</x:v>
      </x:c>
      <x:c r="E74" t="n">
        <x:v>1</x:v>
      </x:c>
      <x:c r="F74" s="72" t="n">
        <x:v>7800</x:v>
      </x:c>
      <x:c r="G74" s="72" t="n">
        <x:v>390</x:v>
      </x:c>
      <x:c r="H74" s="72" t="n">
        <x:v>7410</x:v>
      </x:c>
      <x:c r="I74" t="str">
        <x:v>Wholesale</x:v>
      </x:c>
      <x:c r="J74" t="str">
        <x:v>Paid</x:v>
      </x:c>
    </x:row>
    <x:row r="75">
      <x:c r="A75" t="str">
        <x:v>SO00071</x:v>
      </x:c>
      <x:c r="B75" s="76" t="n">
        <x:v>46094</x:v>
      </x:c>
      <x:c r="C75" t="str">
        <x:v>Buea Branch</x:v>
      </x:c>
      <x:c r="D75" t="str">
        <x:v>PRD011</x:v>
      </x:c>
      <x:c r="E75" t="n">
        <x:v>2</x:v>
      </x:c>
      <x:c r="F75" s="72" t="n">
        <x:v>8450</x:v>
      </x:c>
      <x:c r="G75" s="72" t="n">
        <x:v>0</x:v>
      </x:c>
      <x:c r="H75" s="72" t="n">
        <x:v>16900</x:v>
      </x:c>
      <x:c r="I75" t="str">
        <x:v>Corporate</x:v>
      </x:c>
      <x:c r="J75" t="str">
        <x:v>Paid</x:v>
      </x:c>
    </x:row>
    <x:row r="76">
      <x:c r="A76" t="str">
        <x:v>SO00072</x:v>
      </x:c>
      <x:c r="B76" s="76" t="n">
        <x:v>46095</x:v>
      </x:c>
      <x:c r="C76" t="str">
        <x:v>Bafoussam Branch</x:v>
      </x:c>
      <x:c r="D76" t="str">
        <x:v>PRD012</x:v>
      </x:c>
      <x:c r="E76" t="n">
        <x:v>3</x:v>
      </x:c>
      <x:c r="F76" s="72" t="n">
        <x:v>9100</x:v>
      </x:c>
      <x:c r="G76" s="72" t="n">
        <x:v>0</x:v>
      </x:c>
      <x:c r="H76" s="72" t="n">
        <x:v>27300</x:v>
      </x:c>
      <x:c r="I76" t="str">
        <x:v>Store</x:v>
      </x:c>
      <x:c r="J76" t="str">
        <x:v>Paid</x:v>
      </x:c>
    </x:row>
    <x:row r="77">
      <x:c r="A77" t="str">
        <x:v>SO00073</x:v>
      </x:c>
      <x:c r="B77" s="76" t="n">
        <x:v>46096</x:v>
      </x:c>
      <x:c r="C77" t="str">
        <x:v>Douala Central</x:v>
      </x:c>
      <x:c r="D77" t="str">
        <x:v>PRD013</x:v>
      </x:c>
      <x:c r="E77" t="n">
        <x:v>4</x:v>
      </x:c>
      <x:c r="F77" s="72" t="n">
        <x:v>9750</x:v>
      </x:c>
      <x:c r="G77" s="72" t="n">
        <x:v>0</x:v>
      </x:c>
      <x:c r="H77" s="72" t="n">
        <x:v>39000</x:v>
      </x:c>
      <x:c r="I77" t="str">
        <x:v>Online</x:v>
      </x:c>
      <x:c r="J77" t="str">
        <x:v>Paid</x:v>
      </x:c>
    </x:row>
    <x:row r="78">
      <x:c r="A78" t="str">
        <x:v>SO00074</x:v>
      </x:c>
      <x:c r="B78" s="76" t="n">
        <x:v>46097</x:v>
      </x:c>
      <x:c r="C78" t="str">
        <x:v>Yaounde Central</x:v>
      </x:c>
      <x:c r="D78" t="str">
        <x:v>PRD014</x:v>
      </x:c>
      <x:c r="E78" t="n">
        <x:v>5</x:v>
      </x:c>
      <x:c r="F78" s="72" t="n">
        <x:v>10400</x:v>
      </x:c>
      <x:c r="G78" s="72" t="n">
        <x:v>0</x:v>
      </x:c>
      <x:c r="H78" s="72" t="n">
        <x:v>52000</x:v>
      </x:c>
      <x:c r="I78" t="str">
        <x:v>Wholesale</x:v>
      </x:c>
      <x:c r="J78" t="str">
        <x:v>Paid</x:v>
      </x:c>
    </x:row>
    <x:row r="79">
      <x:c r="A79" t="str">
        <x:v>SO00075</x:v>
      </x:c>
      <x:c r="B79" s="76" t="n">
        <x:v>46098</x:v>
      </x:c>
      <x:c r="C79" t="str">
        <x:v>Buea Branch</x:v>
      </x:c>
      <x:c r="D79" t="str">
        <x:v>PRD015</x:v>
      </x:c>
      <x:c r="E79" t="n">
        <x:v>1</x:v>
      </x:c>
      <x:c r="F79" s="72" t="n">
        <x:v>11050</x:v>
      </x:c>
      <x:c r="G79" s="72" t="n">
        <x:v>0</x:v>
      </x:c>
      <x:c r="H79" s="72" t="n">
        <x:v>11050</x:v>
      </x:c>
      <x:c r="I79" t="str">
        <x:v>Corporate</x:v>
      </x:c>
      <x:c r="J79" t="str">
        <x:v>Paid</x:v>
      </x:c>
    </x:row>
    <x:row r="80">
      <x:c r="A80" t="str">
        <x:v>SO00076</x:v>
      </x:c>
      <x:c r="B80" s="76" t="n">
        <x:v>46099</x:v>
      </x:c>
      <x:c r="C80" t="str">
        <x:v>Bafoussam Branch</x:v>
      </x:c>
      <x:c r="D80" t="str">
        <x:v>PRD016</x:v>
      </x:c>
      <x:c r="E80" t="n">
        <x:v>2</x:v>
      </x:c>
      <x:c r="F80" s="72" t="n">
        <x:v>11700</x:v>
      </x:c>
      <x:c r="G80" s="72" t="n">
        <x:v>0</x:v>
      </x:c>
      <x:c r="H80" s="72" t="n">
        <x:v>23400</x:v>
      </x:c>
      <x:c r="I80" t="str">
        <x:v>Store</x:v>
      </x:c>
      <x:c r="J80" t="str">
        <x:v>Paid</x:v>
      </x:c>
    </x:row>
    <x:row r="81">
      <x:c r="A81" t="str">
        <x:v>SO00077</x:v>
      </x:c>
      <x:c r="B81" s="76" t="n">
        <x:v>46100</x:v>
      </x:c>
      <x:c r="C81" t="str">
        <x:v>Douala Central</x:v>
      </x:c>
      <x:c r="D81" t="str">
        <x:v>PRD017</x:v>
      </x:c>
      <x:c r="E81" t="n">
        <x:v>3</x:v>
      </x:c>
      <x:c r="F81" s="72" t="n">
        <x:v>12350</x:v>
      </x:c>
      <x:c r="G81" s="72" t="n">
        <x:v>0</x:v>
      </x:c>
      <x:c r="H81" s="72" t="n">
        <x:v>37050</x:v>
      </x:c>
      <x:c r="I81" t="str">
        <x:v>Online</x:v>
      </x:c>
      <x:c r="J81" t="str">
        <x:v>Partial</x:v>
      </x:c>
    </x:row>
    <x:row r="82">
      <x:c r="A82" t="str">
        <x:v>SO00078</x:v>
      </x:c>
      <x:c r="B82" s="76" t="n">
        <x:v>46101</x:v>
      </x:c>
      <x:c r="C82" t="str">
        <x:v>Yaounde Central</x:v>
      </x:c>
      <x:c r="D82" t="str">
        <x:v>PRD018</x:v>
      </x:c>
      <x:c r="E82" t="n">
        <x:v>4</x:v>
      </x:c>
      <x:c r="F82" s="72" t="n">
        <x:v>13000</x:v>
      </x:c>
      <x:c r="G82" s="72" t="n">
        <x:v>0</x:v>
      </x:c>
      <x:c r="H82" s="72" t="n">
        <x:v>52000</x:v>
      </x:c>
      <x:c r="I82" t="str">
        <x:v>Wholesale</x:v>
      </x:c>
      <x:c r="J82" t="str">
        <x:v>Paid</x:v>
      </x:c>
    </x:row>
    <x:row r="83">
      <x:c r="A83" t="str">
        <x:v>SO00079</x:v>
      </x:c>
      <x:c r="B83" s="76" t="n">
        <x:v>46102</x:v>
      </x:c>
      <x:c r="C83" t="str">
        <x:v>Buea Branch</x:v>
      </x:c>
      <x:c r="D83" t="str">
        <x:v>PRD019</x:v>
      </x:c>
      <x:c r="E83" t="n">
        <x:v>5</x:v>
      </x:c>
      <x:c r="F83" s="72" t="n">
        <x:v>13650</x:v>
      </x:c>
      <x:c r="G83" s="72" t="n">
        <x:v>0</x:v>
      </x:c>
      <x:c r="H83" s="72" t="n">
        <x:v>68250</x:v>
      </x:c>
      <x:c r="I83" t="str">
        <x:v>Corporate</x:v>
      </x:c>
      <x:c r="J83" t="str">
        <x:v>Paid</x:v>
      </x:c>
    </x:row>
    <x:row r="84">
      <x:c r="A84" t="str">
        <x:v>SO00080</x:v>
      </x:c>
      <x:c r="B84" s="76" t="n">
        <x:v>46103</x:v>
      </x:c>
      <x:c r="C84" t="str">
        <x:v>Bafoussam Branch</x:v>
      </x:c>
      <x:c r="D84" t="str">
        <x:v>PRD020</x:v>
      </x:c>
      <x:c r="E84" t="n">
        <x:v>1</x:v>
      </x:c>
      <x:c r="F84" s="72" t="n">
        <x:v>14300</x:v>
      </x:c>
      <x:c r="G84" s="72" t="n">
        <x:v>715</x:v>
      </x:c>
      <x:c r="H84" s="72" t="n">
        <x:v>13585</x:v>
      </x:c>
      <x:c r="I84" t="str">
        <x:v>Store</x:v>
      </x:c>
      <x:c r="J84" t="str">
        <x:v>Paid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43db26f7192745c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34" hidden="0" customWidth="1"/>
    <x:col min="4" max="4" width="10" hidden="0" customWidth="1"/>
  </x:cols>
  <x:sheetData>
    <x:row r="1" ht="30" customHeight="1">
      <x:c r="A1" s="5" t="str">
        <x:v>Lab 5 — Charts and Management Reporting</x:v>
      </x:c>
    </x:row>
    <x:row r="4">
      <x:c r="A4" s="53" t="str">
        <x:v>Branch</x:v>
      </x:c>
      <x:c r="B4" s="54" t="str">
        <x:v>Total Sales</x:v>
      </x:c>
      <x:c r="C4" s="54" t="str">
        <x:v>Order Count</x:v>
      </x:c>
      <x:c r="D4" s="55" t="str">
        <x:v>Average Order Value</x:v>
      </x:c>
    </x:row>
    <x:row r="5">
      <x:c r="A5" t="str">
        <x:v>Douala Central</x:v>
      </x:c>
      <x:c r="B5" s="72" t="n">
        <x:f>'Lab 4 Analysis'!M5</x:f>
        <x:v>481000</x:v>
      </x:c>
      <x:c r="C5" t="n">
        <x:f>'Lab 4 Analysis'!N5</x:f>
        <x:v>20</x:v>
      </x:c>
      <x:c r="D5" s="72" t="n">
        <x:f>'Lab 4 Analysis'!O5</x:f>
        <x:v>24050</x:v>
      </x:c>
    </x:row>
    <x:row r="6">
      <x:c r="A6" t="str">
        <x:v>Yaounde Central</x:v>
      </x:c>
      <x:c r="B6" s="72" t="n">
        <x:f>'Lab 4 Analysis'!M6</x:f>
        <x:v>518440</x:v>
      </x:c>
      <x:c r="C6" t="n">
        <x:f>'Lab 4 Analysis'!N6</x:f>
        <x:v>20</x:v>
      </x:c>
      <x:c r="D6" s="72" t="n">
        <x:f>'Lab 4 Analysis'!O6</x:f>
        <x:v>25922</x:v>
      </x:c>
    </x:row>
    <x:row r="7">
      <x:c r="A7" t="str">
        <x:v>Buea Branch</x:v>
      </x:c>
      <x:c r="B7" s="72" t="n">
        <x:f>'Lab 4 Analysis'!M7</x:f>
        <x:v>507000</x:v>
      </x:c>
      <x:c r="C7" t="n">
        <x:f>'Lab 4 Analysis'!N7</x:f>
        <x:v>20</x:v>
      </x:c>
      <x:c r="D7" s="72" t="n">
        <x:f>'Lab 4 Analysis'!O7</x:f>
        <x:v>25350</x:v>
      </x:c>
    </x:row>
    <x:row r="8">
      <x:c r="A8" t="str">
        <x:v>Bafoussam Branch</x:v>
      </x:c>
      <x:c r="B8" s="72" t="n">
        <x:f>'Lab 4 Analysis'!M8</x:f>
        <x:v>439140</x:v>
      </x:c>
      <x:c r="C8" t="n">
        <x:f>'Lab 4 Analysis'!N8</x:f>
        <x:v>20</x:v>
      </x:c>
      <x:c r="D8" s="72" t="n">
        <x:f>'Lab 4 Analysis'!O8</x:f>
        <x:v>21957</x:v>
      </x:c>
    </x:row>
    <x:row r="12">
      <x:c r="A12" s="53" t="str">
        <x:v>Management Question</x:v>
      </x:c>
      <x:c r="B12" s="54" t="str">
        <x:v>Student Finding</x:v>
      </x:c>
      <x:c r="C12" s="54" t="str">
        <x:v>Recommendation</x:v>
      </x:c>
      <x:c r="D12" s="55" t="str">
        <x:v>Marks</x:v>
      </x:c>
    </x:row>
    <x:row r="13">
      <x:c r="A13" t="str">
        <x:v>Which branch performed best?</x:v>
      </x:c>
      <x:c r="B13" s="69" t="str"/>
      <x:c r="C13" s="69" t="str"/>
      <x:c r="D13" t="n">
        <x:v>4</x:v>
      </x:c>
    </x:row>
    <x:row r="14">
      <x:c r="A14" t="str">
        <x:v>Which branch requires management attention?</x:v>
      </x:c>
      <x:c r="B14" s="69" t="str"/>
      <x:c r="C14" s="69" t="str"/>
      <x:c r="D14" t="n">
        <x:v>4</x:v>
      </x:c>
    </x:row>
    <x:row r="15">
      <x:c r="A15" t="str">
        <x:v>What is the most important sales insight?</x:v>
      </x:c>
      <x:c r="B15" s="69" t="str"/>
      <x:c r="C15" s="69" t="str"/>
      <x:c r="D15" t="n">
        <x:v>4</x:v>
      </x:c>
    </x:row>
    <x:row r="16">
      <x:c r="A16" t="str">
        <x:v>Give one practical recommendation to management.</x:v>
      </x:c>
      <x:c r="B16" s="69" t="str"/>
      <x:c r="C16" s="69" t="str"/>
      <x:c r="D16" t="n">
        <x:v>4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19716fb7507d4db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0" hidden="0" customWidth="1"/>
    <x:col min="3" max="3" width="10" hidden="0" customWidth="1"/>
  </x:cols>
  <x:sheetData>
    <x:row r="1" ht="30" customHeight="1">
      <x:c r="A1" s="5" t="str">
        <x:v>Instructor Answer Key</x:v>
      </x:c>
    </x:row>
    <x:row r="4">
      <x:c r="A4" s="53" t="str">
        <x:v>Section</x:v>
      </x:c>
      <x:c r="B4" s="54" t="str">
        <x:v>Expected Answer / Result</x:v>
      </x:c>
      <x:c r="C4" s="55" t="str">
        <x:v>Marks</x:v>
      </x:c>
      <x:c r="E4" s="53" t="str">
        <x:v>Expected KPI</x:v>
      </x:c>
      <x:c r="F4" s="55" t="str">
        <x:v>Value</x:v>
      </x:c>
    </x:row>
    <x:row r="5">
      <x:c r="A5" t="str">
        <x:v>Lab 1</x:v>
      </x:c>
      <x:c r="B5" s="83" t="str">
        <x:v>30 unique employees after duplicate removal.</x:v>
      </x:c>
      <x:c r="C5" t="n">
        <x:v>3</x:v>
      </x:c>
      <x:c r="E5" t="str">
        <x:v>Employee count</x:v>
      </x:c>
      <x:c r="F5" s="86" t="n">
        <x:v>30</x:v>
      </x:c>
    </x:row>
    <x:row r="6">
      <x:c r="A6" t="str">
        <x:v>Lab 1</x:v>
      </x:c>
      <x:c r="B6" s="83" t="str">
        <x:v>Names, departments, branches, and salaries standardized.</x:v>
      </x:c>
      <x:c r="C6" t="n">
        <x:v>12</x:v>
      </x:c>
      <x:c r="E6" t="str">
        <x:v>Total monthly salary</x:v>
      </x:c>
      <x:c r="F6" s="86" t="n">
        <x:f>SUM('Lab 2 Formulas'!G5:G34)</x:f>
        <x:v>16675000</x:v>
      </x:c>
    </x:row>
    <x:row r="7">
      <x:c r="A7" t="str">
        <x:v>Lab 2</x:v>
      </x:c>
      <x:c r="B7" s="83" t="str">
        <x:v>Annual Salary = Monthly Salary × 12.</x:v>
      </x:c>
      <x:c r="C7" t="n">
        <x:v>3</x:v>
      </x:c>
      <x:c r="E7" t="str">
        <x:v>Total annual salary</x:v>
      </x:c>
      <x:c r="F7" s="86" t="n">
        <x:f>SUM('Lab 2 Formulas'!H5:H34)</x:f>
        <x:v>200100000</x:v>
      </x:c>
    </x:row>
    <x:row r="8">
      <x:c r="A8" t="str">
        <x:v>Lab 2</x:v>
      </x:c>
      <x:c r="B8" s="83" t="str">
        <x:v>Monthly Tax = Monthly Salary × 5.5%.</x:v>
      </x:c>
      <x:c r="C8" t="n">
        <x:v>3</x:v>
      </x:c>
      <x:c r="E8" t="str">
        <x:v>Total sales</x:v>
      </x:c>
      <x:c r="F8" s="86" t="n">
        <x:f>SUM('Lab 4 Analysis'!H5:H84)</x:f>
        <x:v>1945580</x:v>
      </x:c>
    </x:row>
    <x:row r="9">
      <x:c r="A9" t="str">
        <x:v>Lab 2</x:v>
      </x:c>
      <x:c r="B9" s="83" t="str">
        <x:v>Net Monthly Salary = Monthly Salary − Monthly Tax.</x:v>
      </x:c>
      <x:c r="C9" t="n">
        <x:v>3</x:v>
      </x:c>
      <x:c r="E9" t="str">
        <x:v>Partial payments</x:v>
      </x:c>
      <x:c r="F9" s="86" t="n">
        <x:f>COUNTIF('Lab 4 Analysis'!J5:J84,"Partial")</x:f>
        <x:v>7</x:v>
      </x:c>
    </x:row>
    <x:row r="10">
      <x:c r="A10" t="str">
        <x:v>Lab 2</x:v>
      </x:c>
      <x:c r="B10" s="83" t="str">
        <x:v>Years of Service calculated to 18 July 2026.</x:v>
      </x:c>
      <x:c r="C10" t="n">
        <x:v>3</x:v>
      </x:c>
      <x:c r="E10" t="str">
        <x:v>Paid orders</x:v>
      </x:c>
      <x:c r="F10" s="86" t="n">
        <x:f>COUNTIF('Lab 4 Analysis'!J5:J84,"Paid")</x:f>
        <x:v>73</x:v>
      </x:c>
    </x:row>
    <x:row r="11">
      <x:c r="A11" t="str">
        <x:v>Lab 2</x:v>
      </x:c>
      <x:c r="B11" s="83" t="str">
        <x:v>Salary Band: High ≥ 600,000; Medium ≥ 450,000; otherwise Entry.</x:v>
      </x:c>
      <x:c r="C11" t="n">
        <x:v>3</x:v>
      </x:c>
      <x:c r="E11" t="str">
        <x:v>Highest branch sales</x:v>
      </x:c>
      <x:c r="F11" s="86" t="n">
        <x:f>MAX('Lab 4 Analysis'!M5:M8)</x:f>
        <x:v>518440</x:v>
      </x:c>
    </x:row>
    <x:row r="12">
      <x:c r="A12" t="str">
        <x:v>Lab 3</x:v>
      </x:c>
      <x:c r="B12" s="83" t="str">
        <x:v>Filtered and sorted results must match the requested conditions.</x:v>
      </x:c>
      <x:c r="C12" t="n">
        <x:v>15</x:v>
      </x:c>
      <x:c r="E12" t="str">
        <x:v>Highest channel orders</x:v>
      </x:c>
      <x:c r="F12" s="86" t="n">
        <x:f>MAX('Lab 4 Analysis'!N12:N15)</x:f>
        <x:v>20</x:v>
      </x:c>
    </x:row>
    <x:row r="13">
      <x:c r="A13" t="str">
        <x:v>Lab 4</x:v>
      </x:c>
      <x:c r="B13" s="83" t="str">
        <x:v>Branch and channel summaries must use SUMIFS and COUNTIFS correctly.</x:v>
      </x:c>
      <x:c r="C13" t="n">
        <x:v>15</x:v>
      </x:c>
    </x:row>
    <x:row r="14">
      <x:c r="A14" t="str">
        <x:v>Lab 5</x:v>
      </x:c>
      <x:c r="B14" s="83" t="str">
        <x:v>Charts must be readable, correctly titled, and linked to the summary data.</x:v>
      </x:c>
      <x:c r="C14" t="n">
        <x:v>8</x:v>
      </x:c>
    </x:row>
    <x:row r="15">
      <x:c r="A15" t="str">
        <x:v>Lab 5</x:v>
      </x:c>
      <x:c r="B15" s="83" t="str">
        <x:v>Management findings must be supported by the calculated results.</x:v>
      </x:c>
      <x:c r="C15" t="n">
        <x:v>8</x:v>
      </x:c>
    </x:row>
  </x:sheetData>
  <x:mergeCells>
    <x:mergeCell ref="A1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16" hidden="0" customWidth="1"/>
  </x:cols>
  <x:sheetData>
    <x:row r="1" ht="30" customHeight="1">
      <x:c r="A1" s="5" t="str">
        <x:v>Beginner Excel Practical Assessment Rubric</x:v>
      </x:c>
    </x:row>
    <x:row r="4">
      <x:c r="A4" s="53" t="str">
        <x:v>Assessment Area</x:v>
      </x:c>
      <x:c r="B4" s="54" t="str">
        <x:v>Excellent</x:v>
      </x:c>
      <x:c r="C4" s="54" t="str">
        <x:v>Good</x:v>
      </x:c>
      <x:c r="D4" s="54" t="str">
        <x:v>Developing</x:v>
      </x:c>
      <x:c r="E4" s="54" t="str">
        <x:v>Poor</x:v>
      </x:c>
      <x:c r="F4" s="55" t="str">
        <x:v>Maximum Marks</x:v>
      </x:c>
    </x:row>
    <x:row r="5">
      <x:c r="A5" t="str">
        <x:v>Data Cleaning</x:v>
      </x:c>
      <x:c r="B5" s="74" t="str">
        <x:v>All issues identified and corrected accurately.</x:v>
      </x:c>
      <x:c r="C5" s="74" t="str">
        <x:v>Most issues corrected; minor errors remain.</x:v>
      </x:c>
      <x:c r="D5" s="74" t="str">
        <x:v>Several issues remain.</x:v>
      </x:c>
      <x:c r="E5" s="74" t="str">
        <x:v>Little or no cleaning completed.</x:v>
      </x:c>
      <x:c r="F5" s="89" t="n">
        <x:v>15</x:v>
      </x:c>
    </x:row>
    <x:row r="6">
      <x:c r="A6" t="str">
        <x:v>Formatting</x:v>
      </x:c>
      <x:c r="B6" s="74" t="str">
        <x:v>Professional and consistent formatting.</x:v>
      </x:c>
      <x:c r="C6" s="74" t="str">
        <x:v>Generally consistent formatting.</x:v>
      </x:c>
      <x:c r="D6" s="74" t="str">
        <x:v>Some inconsistent formatting.</x:v>
      </x:c>
      <x:c r="E6" s="74" t="str">
        <x:v>Unformatted or difficult to read.</x:v>
      </x:c>
      <x:c r="F6" s="89" t="n">
        <x:v>10</x:v>
      </x:c>
    </x:row>
    <x:row r="7">
      <x:c r="A7" t="str">
        <x:v>Formulas</x:v>
      </x:c>
      <x:c r="B7" s="74" t="str">
        <x:v>All formulas correct and copied accurately.</x:v>
      </x:c>
      <x:c r="C7" s="74" t="str">
        <x:v>Most formulas correct.</x:v>
      </x:c>
      <x:c r="D7" s="74" t="str">
        <x:v>Several formula errors.</x:v>
      </x:c>
      <x:c r="E7" s="74" t="str">
        <x:v>Formulas mostly missing or incorrect.</x:v>
      </x:c>
      <x:c r="F7" s="89" t="n">
        <x:v>15</x:v>
      </x:c>
    </x:row>
    <x:row r="8">
      <x:c r="A8" t="str">
        <x:v>Sorting and Filtering</x:v>
      </x:c>
      <x:c r="B8" s="74" t="str">
        <x:v>All requested filters and sorting completed.</x:v>
      </x:c>
      <x:c r="C8" s="74" t="str">
        <x:v>One minor error.</x:v>
      </x:c>
      <x:c r="D8" s="74" t="str">
        <x:v>Several steps incomplete.</x:v>
      </x:c>
      <x:c r="E8" s="74" t="str">
        <x:v>Not completed.</x:v>
      </x:c>
      <x:c r="F8" s="89" t="n">
        <x:v>10</x:v>
      </x:c>
    </x:row>
    <x:row r="9">
      <x:c r="A9" t="str">
        <x:v>Analysis</x:v>
      </x:c>
      <x:c r="B9" s="74" t="str">
        <x:v>Correct SUMIFS, COUNTIFS, and summary results.</x:v>
      </x:c>
      <x:c r="C9" s="74" t="str">
        <x:v>Mostly correct analysis.</x:v>
      </x:c>
      <x:c r="D9" s="74" t="str">
        <x:v>Partial analysis with errors.</x:v>
      </x:c>
      <x:c r="E9" s="74" t="str">
        <x:v>Analysis missing.</x:v>
      </x:c>
      <x:c r="F9" s="89" t="n">
        <x:v>15</x:v>
      </x:c>
    </x:row>
    <x:row r="10">
      <x:c r="A10" t="str">
        <x:v>Charts</x:v>
      </x:c>
      <x:c r="B10" s="74" t="str">
        <x:v>Clear, accurate, and management-ready charts.</x:v>
      </x:c>
      <x:c r="C10" s="74" t="str">
        <x:v>Charts correct but need improvement.</x:v>
      </x:c>
      <x:c r="D10" s="74" t="str">
        <x:v>Charts contain errors.</x:v>
      </x:c>
      <x:c r="E10" s="74" t="str">
        <x:v>Charts missing.</x:v>
      </x:c>
      <x:c r="F10" s="89" t="n">
        <x:v>10</x:v>
      </x:c>
    </x:row>
    <x:row r="11">
      <x:c r="A11" t="str">
        <x:v>Interpretation</x:v>
      </x:c>
      <x:c r="B11" s="74" t="str">
        <x:v>Insights are accurate and linked to evidence.</x:v>
      </x:c>
      <x:c r="C11" s="74" t="str">
        <x:v>Reasonable insights with limited depth.</x:v>
      </x:c>
      <x:c r="D11" s="74" t="str">
        <x:v>Weak interpretation.</x:v>
      </x:c>
      <x:c r="E11" s="74" t="str">
        <x:v>No useful interpretation.</x:v>
      </x:c>
      <x:c r="F11" s="89" t="n">
        <x:v>15</x:v>
      </x:c>
    </x:row>
    <x:row r="12">
      <x:c r="A12" t="str">
        <x:v>Workbook Quality</x:v>
      </x:c>
      <x:c r="B12" s="74" t="str">
        <x:v>Well organized, named, and easy to review.</x:v>
      </x:c>
      <x:c r="C12" s="74" t="str">
        <x:v>Generally organized.</x:v>
      </x:c>
      <x:c r="D12" s="74" t="str">
        <x:v>Some organization issues.</x:v>
      </x:c>
      <x:c r="E12" s="74" t="str">
        <x:v>Poorly organized.</x:v>
      </x:c>
      <x:c r="F12" s="89" t="n">
        <x:v>10</x:v>
      </x:c>
    </x:row>
  </x:sheetData>
  <x:mergeCells>
    <x:mergeCell ref="A1:F2"/>
  </x:mergeCells>
  <x:pageMargins left="0.7" right="0.7" top="0.75" bottom="0.75" header="0.3" footer="0.3"/>
</x:worksheet>
</file>