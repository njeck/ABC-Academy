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ae4c72483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248db568ccb4f0b"/>
    <x:sheet xmlns:r="http://schemas.openxmlformats.org/officeDocument/2006/relationships" name="Case Register" sheetId="2" r:id="R2f97c71024394a47"/>
    <x:sheet xmlns:r="http://schemas.openxmlformats.org/officeDocument/2006/relationships" name="Question Matrix" sheetId="3" r:id="R42cad72335384ef7"/>
    <x:sheet xmlns:r="http://schemas.openxmlformats.org/officeDocument/2006/relationships" name="Technique Map" sheetId="4" r:id="Rc57525925712477e"/>
    <x:sheet xmlns:r="http://schemas.openxmlformats.org/officeDocument/2006/relationships" name="Validation Checklist" sheetId="5" r:id="R01624625fcef48e3"/>
    <x:sheet xmlns:r="http://schemas.openxmlformats.org/officeDocument/2006/relationships" name="Assessment Log" sheetId="6" r:id="Rd46944266fbf4e19"/>
    <x:sheet xmlns:r="http://schemas.openxmlformats.org/officeDocument/2006/relationships" name="Dashboard" sheetId="7" r:id="R7b3f011821f4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5137f7e9a4565" /><Relationship Type="http://schemas.openxmlformats.org/officeDocument/2006/relationships/theme" Target="/xl/theme/theme1.xml" Id="R547561124a9349a4" /><Relationship Type="http://schemas.openxmlformats.org/officeDocument/2006/relationships/sharedStrings" Target="/xl/sharedStrings.xml" Id="R23b47f9434254fd7" /><Relationship Type="http://schemas.openxmlformats.org/officeDocument/2006/relationships/worksheet" Target="/xl/worksheets/sheet1.xml" Id="Rf248db568ccb4f0b" /><Relationship Type="http://schemas.openxmlformats.org/officeDocument/2006/relationships/worksheet" Target="/xl/worksheets/sheet2.xml" Id="R2f97c71024394a47" /><Relationship Type="http://schemas.openxmlformats.org/officeDocument/2006/relationships/worksheet" Target="/xl/worksheets/sheet3.xml" Id="R42cad72335384ef7" /><Relationship Type="http://schemas.openxmlformats.org/officeDocument/2006/relationships/worksheet" Target="/xl/worksheets/sheet4.xml" Id="Rc57525925712477e" /><Relationship Type="http://schemas.openxmlformats.org/officeDocument/2006/relationships/worksheet" Target="/xl/worksheets/sheet5.xml" Id="R01624625fcef48e3" /><Relationship Type="http://schemas.openxmlformats.org/officeDocument/2006/relationships/worksheet" Target="/xl/worksheets/sheet6.xml" Id="Rd46944266fbf4e19" /><Relationship Type="http://schemas.openxmlformats.org/officeDocument/2006/relationships/worksheet" Target="/xl/worksheets/sheet7.xml" Id="R7b3f011821f447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948307fde04d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SQL Cases and Questions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'Dashboard'!$D$5:$D$17</c:f>
              <c:strCache>
                <c:ptCount val="0"/>
              </c:strCache>
            </c:strRef>
          </c:cat>
          <c:val>
            <c:numRef>
              <c:f>'Dashboard'!$E$5:$E$17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Questions</c:v>
          </c:tx>
          <c:cat>
            <c:strRef>
              <c:f>'Dashboard'!$D$5:$D$17</c:f>
              <c:strCache>
                <c:ptCount val="0"/>
              </c:strCache>
            </c:strRef>
          </c:cat>
          <c:val>
            <c:numRef>
              <c:f>'Dashboard'!$F$5:$F$17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948307fde04d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QLCaseRegister" displayName="SQLCaseRegister" ref="A4:J26" headerRowCount="1">
  <x:tableColumns count="10">
    <x:tableColumn id="1" name="Case ID"/>
    <x:tableColumn id="2" name="Department"/>
    <x:tableColumn id="3" name="Case Title"/>
    <x:tableColumn id="4" name="Recommended Tool"/>
    <x:tableColumn id="5" name="Difficulty"/>
    <x:tableColumn id="6" name="Hours"/>
    <x:tableColumn id="7" name="Questions"/>
    <x:tableColumn id="8" name="Marks"/>
    <x:tableColumn id="9" name="Status"/>
    <x:tableColumn id="10" name="Instructor"/>
  </x:tableColumns>
  <x:tableStyleInfo name="TableStyleMedium2" showRowStripes="1"/>
</x:table>
</file>

<file path=xl/tables/table2.xml><?xml version="1.0" encoding="utf-8"?>
<x:table xmlns:x="http://schemas.openxmlformats.org/spreadsheetml/2006/main" id="2" name="SQLQuestionMatrix" displayName="SQLQuestionMatrix" ref="A4:N70" headerRowCount="1">
  <x:tableColumns count="14">
    <x:tableColumn id="1" name="Question ID"/>
    <x:tableColumn id="2" name="Case ID"/>
    <x:tableColumn id="3" name="Department"/>
    <x:tableColumn id="4" name="Case Title"/>
    <x:tableColumn id="5" name="Business Question"/>
    <x:tableColumn id="6" name="Question Type"/>
    <x:tableColumn id="7" name="Technique"/>
    <x:tableColumn id="8" name="Difficulty"/>
    <x:tableColumn id="9" name="Marks"/>
    <x:tableColumn id="10" name="Required Database"/>
    <x:tableColumn id="11" name="Student Status"/>
    <x:tableColumn id="12" name="Score"/>
    <x:tableColumn id="13" name="Classification"/>
    <x:tableColumn id="14" name="Evidence Reference"/>
  </x:tableColumns>
  <x:tableStyleInfo name="TableStyleMedium2" showRowStripes="1"/>
</x:table>
</file>

<file path=xl/tables/table3.xml><?xml version="1.0" encoding="utf-8"?>
<x:table xmlns:x="http://schemas.openxmlformats.org/spreadsheetml/2006/main" id="3" name="SQLTechniqueMap" displayName="SQLTechniqueMap" ref="A4:F14" headerRowCount="1">
  <x:tableColumns count="6">
    <x:tableColumn id="1" name="Technique"/>
    <x:tableColumn id="2" name="Approx. Questions"/>
    <x:tableColumn id="3" name="SQL Pattern"/>
    <x:tableColumn id="4" name="Level"/>
    <x:tableColumn id="5" name="Use Cases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QLValidationChecklist" displayName="SQLValidationChecklist" ref="A4:H14" headerRowCount="1">
  <x:tableColumns count="8">
    <x:tableColumn id="1" name="Check ID"/>
    <x:tableColumn id="2" name="Validation Check"/>
    <x:tableColumn id="3" name="Control Objective"/>
    <x:tableColumn id="4" name="Applies To"/>
    <x:tableColumn id="5" name="Requirement"/>
    <x:tableColumn id="6" name="Reviewer"/>
    <x:tableColumn id="7" name="Status"/>
    <x:tableColumn id="8" name="Evidence"/>
  </x:tableColumns>
  <x:tableStyleInfo name="TableStyleMedium2" showRowStripes="1"/>
</x:table>
</file>

<file path=xl/tables/table5.xml><?xml version="1.0" encoding="utf-8"?>
<x:table xmlns:x="http://schemas.openxmlformats.org/spreadsheetml/2006/main" id="5" name="SQLAssessmentLog" displayName="SQLAssessmentLog" ref="A4:L44" headerRowCount="1">
  <x:tableColumns count="12">
    <x:tableColumn id="1" name="Assessment ID"/>
    <x:tableColumn id="2" name="Student / Team"/>
    <x:tableColumn id="3" name="Case ID"/>
    <x:tableColumn id="4" name="Assigned Date"/>
    <x:tableColumn id="5" name="Due Date"/>
    <x:tableColumn id="6" name="Questions Assigned"/>
    <x:tableColumn id="7" name="Score"/>
    <x:tableColumn id="8" name="Maximum"/>
    <x:tableColumn id="9" name="Percentage"/>
    <x:tableColumn id="10" name="Classification"/>
    <x:tableColumn id="11" name="Instructor"/>
    <x:tableColumn id="12" name="Feedba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429b4bad1a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eaf0548c8845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2dd3f41fe5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9b1a3d40a348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3947eb491f48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2cd60c8e2304dd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 ht="30" customHeight="1">
      <x:c r="A1" s="5" t="str">
        <x:v>ABC Retail Ltd Departmental SQL Case Pack</x:v>
      </x:c>
    </x:row>
    <x:row r="4">
      <x:c r="A4" s="14" t="str">
        <x:v>Document Code</x:v>
      </x:c>
      <x:c r="B4" s="21" t="str">
        <x:v>DABA-ABC-SQL-CASE-004</x:v>
      </x:c>
    </x:row>
    <x:row r="5">
      <x:c r="A5" s="14" t="str">
        <x:v>Version</x:v>
      </x:c>
      <x:c r="B5" s="21" t="str">
        <x:v>1.0</x:v>
      </x:c>
    </x:row>
    <x:row r="6">
      <x:c r="A6" s="14" t="str">
        <x:v>Enterprise</x:v>
      </x:c>
      <x:c r="B6" s="21" t="str">
        <x:v>ABC Retail Ltd</x:v>
      </x:c>
    </x:row>
    <x:row r="7">
      <x:c r="A7" s="14" t="str">
        <x:v>Departmental Cases</x:v>
      </x:c>
      <x:c r="B7" s="21" t="n">
        <x:v>22</x:v>
      </x:c>
    </x:row>
    <x:row r="8">
      <x:c r="A8" s="14" t="str">
        <x:v>SQL Questions</x:v>
      </x:c>
      <x:c r="B8" s="21" t="n">
        <x:v>66</x:v>
      </x:c>
    </x:row>
    <x:row r="9">
      <x:c r="A9" s="14" t="str">
        <x:v>Maximum Marks</x:v>
      </x:c>
      <x:c r="B9" s="21" t="n">
        <x:v>330</x:v>
      </x:c>
    </x:row>
    <x:row r="10">
      <x:c r="A10" s="14" t="str">
        <x:v>Student SQL File</x:v>
      </x:c>
      <x:c r="B10" s="21" t="str">
        <x:v>ABC_Retail_Departmental_SQL_Student_Challenges.sql</x:v>
      </x:c>
    </x:row>
    <x:row r="11">
      <x:c r="A11" s="14" t="str">
        <x:v>Instructor SQL File</x:v>
      </x:c>
      <x:c r="B11" s="21" t="str">
        <x:v>ABC_Retail_Departmental_SQL_Instructor_Solutions.sql</x:v>
      </x:c>
    </x:row>
    <x:row r="12">
      <x:c r="A12" s="14" t="str">
        <x:v>Database Requirement</x:v>
      </x:c>
      <x:c r="B12" s="21" t="str">
        <x:v>ABC Retail Phase 1 + Phase 2</x:v>
      </x:c>
    </x:row>
    <x:row r="13">
      <x:c r="A13" s="14" t="str">
        <x:v>Target Platform</x:v>
      </x:c>
      <x:c r="B13" s="21" t="str">
        <x:v>Microsoft SQL Server 2019+</x:v>
      </x:c>
    </x:row>
    <x:row r="14">
      <x:c r="A14" s="14" t="str">
        <x:v>Instructor Classification</x:v>
      </x:c>
      <x:c r="B14" s="21" t="str">
        <x:v>Restricted</x:v>
      </x:c>
    </x:row>
    <x:row r="15">
      <x:c r="A15" s="14" t="str">
        <x:v>Primary Rule</x:v>
      </x:c>
      <x:c r="B15" s="21" t="str">
        <x:v>Every submitted result must include a validation check.</x:v>
      </x:c>
    </x:row>
    <x:row r="17">
      <x:c r="A17" s="14" t="str">
        <x:v>Recommended Sequence</x:v>
      </x:c>
      <x:c r="B17" s="14" t="str"/>
    </x:row>
    <x:row r="18">
      <x:c r="A18" s="24" t="str">
        <x:v>1</x:v>
      </x:c>
      <x:c r="B18" s="27" t="str">
        <x:v>Assign the case and required questions.</x:v>
      </x:c>
    </x:row>
    <x:row r="19">
      <x:c r="A19" s="24" t="str">
        <x:v>2</x:v>
      </x:c>
      <x:c r="B19" s="27" t="str">
        <x:v>Confirm database validation has passed.</x:v>
      </x:c>
    </x:row>
    <x:row r="20">
      <x:c r="A20" s="24" t="str">
        <x:v>3</x:v>
      </x:c>
      <x:c r="B20" s="27" t="str">
        <x:v>Require students to document query grain and joins.</x:v>
      </x:c>
    </x:row>
    <x:row r="21">
      <x:c r="A21" s="24" t="str">
        <x:v>4</x:v>
      </x:c>
      <x:c r="B21" s="27" t="str">
        <x:v>Review query, result, validation, and interpretation.</x:v>
      </x:c>
    </x:row>
    <x:row r="22">
      <x:c r="A22" s="24" t="str">
        <x:v>5</x:v>
      </x:c>
      <x:c r="B22" s="27" t="str">
        <x:v>Record marks and feedback in the assessment log.</x:v>
      </x:c>
    </x:row>
    <x:row r="23">
      <x:c r="A23" s="24" t="str">
        <x:v>6</x:v>
      </x:c>
      <x:c r="B23" s="27" t="str">
        <x:v>Retain evidence and protect instructor solutions.</x:v>
      </x:c>
    </x:row>
    <x:row r="24">
      <x:c r="A24" s="24" t="str">
        <x:v>7</x:v>
      </x:c>
      <x:c r="B24" s="27" t="str">
        <x:v>Use completed cases in the integrated capstone portfolio.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6" hidden="0" customWidth="1"/>
    <x:col min="4" max="4" width="24" hidden="0" customWidth="1"/>
    <x:col min="5" max="5" width="15" hidden="0" customWidth="1"/>
    <x:col min="6" max="6" width="10" hidden="0" customWidth="1"/>
    <x:col min="7" max="7" width="12" hidden="0" customWidth="1"/>
    <x:col min="8" max="8" width="10" hidden="0" customWidth="1"/>
    <x:col min="9" max="9" width="16" hidden="0" customWidth="1"/>
    <x:col min="10" max="10" width="22" hidden="0" customWidth="1"/>
  </x:cols>
  <x:sheetData>
    <x:row r="1" ht="30" customHeight="1">
      <x:c r="A1" s="5" t="str">
        <x:v>Departmental SQL Case Register</x:v>
      </x:c>
    </x:row>
    <x:row r="4">
      <x:c r="A4" s="14" t="str">
        <x:v>Case ID</x:v>
      </x:c>
      <x:c r="B4" s="14" t="str">
        <x:v>Department</x:v>
      </x:c>
      <x:c r="C4" s="14" t="str">
        <x:v>Case Title</x:v>
      </x:c>
      <x:c r="D4" s="14" t="str">
        <x:v>Recommended Tool</x:v>
      </x:c>
      <x:c r="E4" s="14" t="str">
        <x:v>Difficulty</x:v>
      </x:c>
      <x:c r="F4" s="14" t="str">
        <x:v>Hours</x:v>
      </x:c>
      <x:c r="G4" s="14" t="str">
        <x:v>Questions</x:v>
      </x:c>
      <x:c r="H4" s="14" t="str">
        <x:v>Marks</x:v>
      </x:c>
      <x:c r="I4" s="14" t="str">
        <x:v>Status</x:v>
      </x:c>
      <x:c r="J4" s="14" t="str">
        <x:v>Instructor</x:v>
      </x:c>
    </x:row>
    <x:row r="5">
      <x:c r="A5" t="str">
        <x:v>CASE-001</x:v>
      </x:c>
      <x:c r="B5" t="str">
        <x:v>Executive Management</x:v>
      </x:c>
      <x:c r="C5" s="30" t="str">
        <x:v>Branch Performance Review</x:v>
      </x:c>
      <x:c r="D5" s="30" t="str">
        <x:v>Power BI / SQL</x:v>
      </x:c>
      <x:c r="E5" t="str">
        <x:v>Intermediate</x:v>
      </x:c>
      <x:c r="F5" t="n">
        <x:v>8</x:v>
      </x:c>
      <x:c r="G5" t="n">
        <x:v>3</x:v>
      </x:c>
      <x:c r="H5" t="n">
        <x:v>15</x:v>
      </x:c>
      <x:c r="I5" t="str">
        <x:v>Ready</x:v>
      </x:c>
      <x:c r="J5" t="str"/>
    </x:row>
    <x:row r="6">
      <x:c r="A6" t="str">
        <x:v>CASE-002</x:v>
      </x:c>
      <x:c r="B6" t="str">
        <x:v>Executive Management</x:v>
      </x:c>
      <x:c r="C6" s="30" t="str">
        <x:v>Quarterly Management Pack</x:v>
      </x:c>
      <x:c r="D6" s="30" t="str">
        <x:v>SQL / Power BI</x:v>
      </x:c>
      <x:c r="E6" t="str">
        <x:v>Intermediate</x:v>
      </x:c>
      <x:c r="F6" t="n">
        <x:v>8</x:v>
      </x:c>
      <x:c r="G6" t="n">
        <x:v>3</x:v>
      </x:c>
      <x:c r="H6" t="n">
        <x:v>15</x:v>
      </x:c>
      <x:c r="I6" t="str">
        <x:v>Ready</x:v>
      </x:c>
      <x:c r="J6" t="str"/>
    </x:row>
    <x:row r="7">
      <x:c r="A7" t="str">
        <x:v>CASE-003</x:v>
      </x:c>
      <x:c r="B7" t="str">
        <x:v>Sales</x:v>
      </x:c>
      <x:c r="C7" s="30" t="str">
        <x:v>Branch Sales Decline</x:v>
      </x:c>
      <x:c r="D7" s="30" t="str">
        <x:v>SQL / Power BI</x:v>
      </x:c>
      <x:c r="E7" t="str">
        <x:v>Intermediate</x:v>
      </x:c>
      <x:c r="F7" t="n">
        <x:v>6</x:v>
      </x:c>
      <x:c r="G7" t="n">
        <x:v>3</x:v>
      </x:c>
      <x:c r="H7" t="n">
        <x:v>15</x:v>
      </x:c>
      <x:c r="I7" t="str">
        <x:v>Ready</x:v>
      </x:c>
      <x:c r="J7" t="str"/>
    </x:row>
    <x:row r="8">
      <x:c r="A8" t="str">
        <x:v>CASE-004</x:v>
      </x:c>
      <x:c r="B8" t="str">
        <x:v>Sales</x:v>
      </x:c>
      <x:c r="C8" s="30" t="str">
        <x:v>Sales Representative Performance</x:v>
      </x:c>
      <x:c r="D8" s="30" t="str">
        <x:v>SQL / Power BI</x:v>
      </x:c>
      <x:c r="E8" t="str">
        <x:v>Beginner</x:v>
      </x:c>
      <x:c r="F8" t="n">
        <x:v>5</x:v>
      </x:c>
      <x:c r="G8" t="n">
        <x:v>3</x:v>
      </x:c>
      <x:c r="H8" t="n">
        <x:v>15</x:v>
      </x:c>
      <x:c r="I8" t="str">
        <x:v>Ready</x:v>
      </x:c>
      <x:c r="J8" t="str"/>
    </x:row>
    <x:row r="9">
      <x:c r="A9" t="str">
        <x:v>CASE-005</x:v>
      </x:c>
      <x:c r="B9" t="str">
        <x:v>Finance</x:v>
      </x:c>
      <x:c r="C9" s="30" t="str">
        <x:v>Budget Overspending</x:v>
      </x:c>
      <x:c r="D9" s="30" t="str">
        <x:v>SQL / Power BI</x:v>
      </x:c>
      <x:c r="E9" t="str">
        <x:v>Intermediate</x:v>
      </x:c>
      <x:c r="F9" t="n">
        <x:v>6</x:v>
      </x:c>
      <x:c r="G9" t="n">
        <x:v>3</x:v>
      </x:c>
      <x:c r="H9" t="n">
        <x:v>15</x:v>
      </x:c>
      <x:c r="I9" t="str">
        <x:v>Ready</x:v>
      </x:c>
      <x:c r="J9" t="str"/>
    </x:row>
    <x:row r="10">
      <x:c r="A10" t="str">
        <x:v>CASE-006</x:v>
      </x:c>
      <x:c r="B10" t="str">
        <x:v>Finance</x:v>
      </x:c>
      <x:c r="C10" s="30" t="str">
        <x:v>Customer Receivables Risk</x:v>
      </x:c>
      <x:c r="D10" s="30" t="str">
        <x:v>SQL</x:v>
      </x:c>
      <x:c r="E10" t="str">
        <x:v>Intermediate</x:v>
      </x:c>
      <x:c r="F10" t="n">
        <x:v>5</x:v>
      </x:c>
      <x:c r="G10" t="n">
        <x:v>3</x:v>
      </x:c>
      <x:c r="H10" t="n">
        <x:v>15</x:v>
      </x:c>
      <x:c r="I10" t="str">
        <x:v>Ready</x:v>
      </x:c>
      <x:c r="J10" t="str"/>
    </x:row>
    <x:row r="11">
      <x:c r="A11" t="str">
        <x:v>CASE-007</x:v>
      </x:c>
      <x:c r="B11" t="str">
        <x:v>Human Resources</x:v>
      </x:c>
      <x:c r="C11" s="30" t="str">
        <x:v>Employee Attendance Risk</x:v>
      </x:c>
      <x:c r="D11" s="30" t="str">
        <x:v>SQL / Excel</x:v>
      </x:c>
      <x:c r="E11" t="str">
        <x:v>Beginner</x:v>
      </x:c>
      <x:c r="F11" t="n">
        <x:v>5</x:v>
      </x:c>
      <x:c r="G11" t="n">
        <x:v>3</x:v>
      </x:c>
      <x:c r="H11" t="n">
        <x:v>15</x:v>
      </x:c>
      <x:c r="I11" t="str">
        <x:v>Ready</x:v>
      </x:c>
      <x:c r="J11" t="str"/>
    </x:row>
    <x:row r="12">
      <x:c r="A12" t="str">
        <x:v>CASE-008</x:v>
      </x:c>
      <x:c r="B12" t="str">
        <x:v>Human Resources</x:v>
      </x:c>
      <x:c r="C12" s="30" t="str">
        <x:v>Payroll Cost Review</x:v>
      </x:c>
      <x:c r="D12" s="30" t="str">
        <x:v>SQL / Power BI</x:v>
      </x:c>
      <x:c r="E12" t="str">
        <x:v>Beginner</x:v>
      </x:c>
      <x:c r="F12" t="n">
        <x:v>4</x:v>
      </x:c>
      <x:c r="G12" t="n">
        <x:v>3</x:v>
      </x:c>
      <x:c r="H12" t="n">
        <x:v>15</x:v>
      </x:c>
      <x:c r="I12" t="str">
        <x:v>Ready</x:v>
      </x:c>
      <x:c r="J12" t="str"/>
    </x:row>
    <x:row r="13">
      <x:c r="A13" t="str">
        <x:v>CASE-009</x:v>
      </x:c>
      <x:c r="B13" t="str">
        <x:v>Inventory</x:v>
      </x:c>
      <x:c r="C13" s="30" t="str">
        <x:v>Stockout Prevention</x:v>
      </x:c>
      <x:c r="D13" s="30" t="str">
        <x:v>SQL / Power BI</x:v>
      </x:c>
      <x:c r="E13" t="str">
        <x:v>Intermediate</x:v>
      </x:c>
      <x:c r="F13" t="n">
        <x:v>6</x:v>
      </x:c>
      <x:c r="G13" t="n">
        <x:v>3</x:v>
      </x:c>
      <x:c r="H13" t="n">
        <x:v>15</x:v>
      </x:c>
      <x:c r="I13" t="str">
        <x:v>Ready</x:v>
      </x:c>
      <x:c r="J13" t="str"/>
    </x:row>
    <x:row r="14">
      <x:c r="A14" t="str">
        <x:v>CASE-010</x:v>
      </x:c>
      <x:c r="B14" t="str">
        <x:v>Inventory</x:v>
      </x:c>
      <x:c r="C14" s="30" t="str">
        <x:v>Stock Variance Investigation</x:v>
      </x:c>
      <x:c r="D14" s="30" t="str">
        <x:v>SQL / Excel</x:v>
      </x:c>
      <x:c r="E14" t="str">
        <x:v>Intermediate</x:v>
      </x:c>
      <x:c r="F14" t="n">
        <x:v>6</x:v>
      </x:c>
      <x:c r="G14" t="n">
        <x:v>3</x:v>
      </x:c>
      <x:c r="H14" t="n">
        <x:v>15</x:v>
      </x:c>
      <x:c r="I14" t="str">
        <x:v>Ready</x:v>
      </x:c>
      <x:c r="J14" t="str"/>
    </x:row>
    <x:row r="15">
      <x:c r="A15" t="str">
        <x:v>CASE-011</x:v>
      </x:c>
      <x:c r="B15" t="str">
        <x:v>Procurement</x:v>
      </x:c>
      <x:c r="C15" s="30" t="str">
        <x:v>Supplier Performance Review</x:v>
      </x:c>
      <x:c r="D15" s="30" t="str">
        <x:v>SQL / Power BI</x:v>
      </x:c>
      <x:c r="E15" t="str">
        <x:v>Intermediate</x:v>
      </x:c>
      <x:c r="F15" t="n">
        <x:v>6</x:v>
      </x:c>
      <x:c r="G15" t="n">
        <x:v>3</x:v>
      </x:c>
      <x:c r="H15" t="n">
        <x:v>15</x:v>
      </x:c>
      <x:c r="I15" t="str">
        <x:v>Ready</x:v>
      </x:c>
      <x:c r="J15" t="str"/>
    </x:row>
    <x:row r="16">
      <x:c r="A16" t="str">
        <x:v>CASE-012</x:v>
      </x:c>
      <x:c r="B16" t="str">
        <x:v>Procurement</x:v>
      </x:c>
      <x:c r="C16" s="30" t="str">
        <x:v>Purchase Cost Analysis</x:v>
      </x:c>
      <x:c r="D16" s="30" t="str">
        <x:v>SQL / Power BI</x:v>
      </x:c>
      <x:c r="E16" t="str">
        <x:v>Intermediate</x:v>
      </x:c>
      <x:c r="F16" t="n">
        <x:v>5</x:v>
      </x:c>
      <x:c r="G16" t="n">
        <x:v>3</x:v>
      </x:c>
      <x:c r="H16" t="n">
        <x:v>15</x:v>
      </x:c>
      <x:c r="I16" t="str">
        <x:v>Ready</x:v>
      </x:c>
      <x:c r="J16" t="str"/>
    </x:row>
    <x:row r="17">
      <x:c r="A17" t="str">
        <x:v>CASE-013</x:v>
      </x:c>
      <x:c r="B17" t="str">
        <x:v>Logistics</x:v>
      </x:c>
      <x:c r="C17" s="30" t="str">
        <x:v>Delivery Delay Analysis</x:v>
      </x:c>
      <x:c r="D17" s="30" t="str">
        <x:v>SQL / Power BI</x:v>
      </x:c>
      <x:c r="E17" t="str">
        <x:v>Intermediate</x:v>
      </x:c>
      <x:c r="F17" t="n">
        <x:v>6</x:v>
      </x:c>
      <x:c r="G17" t="n">
        <x:v>3</x:v>
      </x:c>
      <x:c r="H17" t="n">
        <x:v>15</x:v>
      </x:c>
      <x:c r="I17" t="str">
        <x:v>Ready</x:v>
      </x:c>
      <x:c r="J17" t="str"/>
    </x:row>
    <x:row r="18">
      <x:c r="A18" t="str">
        <x:v>CASE-014</x:v>
      </x:c>
      <x:c r="B18" t="str">
        <x:v>Logistics</x:v>
      </x:c>
      <x:c r="C18" s="30" t="str">
        <x:v>Vehicle Maintenance Cost</x:v>
      </x:c>
      <x:c r="D18" s="30" t="str">
        <x:v>SQL / Power BI</x:v>
      </x:c>
      <x:c r="E18" t="str">
        <x:v>Beginner</x:v>
      </x:c>
      <x:c r="F18" t="n">
        <x:v>5</x:v>
      </x:c>
      <x:c r="G18" t="n">
        <x:v>3</x:v>
      </x:c>
      <x:c r="H18" t="n">
        <x:v>15</x:v>
      </x:c>
      <x:c r="I18" t="str">
        <x:v>Ready</x:v>
      </x:c>
      <x:c r="J18" t="str"/>
    </x:row>
    <x:row r="19">
      <x:c r="A19" t="str">
        <x:v>CASE-015</x:v>
      </x:c>
      <x:c r="B19" t="str">
        <x:v>Marketing</x:v>
      </x:c>
      <x:c r="C19" s="30" t="str">
        <x:v>Campaign Return Analysis</x:v>
      </x:c>
      <x:c r="D19" s="30" t="str">
        <x:v>SQL / Power BI</x:v>
      </x:c>
      <x:c r="E19" t="str">
        <x:v>Intermediate</x:v>
      </x:c>
      <x:c r="F19" t="n">
        <x:v>6</x:v>
      </x:c>
      <x:c r="G19" t="n">
        <x:v>3</x:v>
      </x:c>
      <x:c r="H19" t="n">
        <x:v>15</x:v>
      </x:c>
      <x:c r="I19" t="str">
        <x:v>Ready</x:v>
      </x:c>
      <x:c r="J19" t="str"/>
    </x:row>
    <x:row r="20">
      <x:c r="A20" t="str">
        <x:v>CASE-016</x:v>
      </x:c>
      <x:c r="B20" t="str">
        <x:v>Marketing</x:v>
      </x:c>
      <x:c r="C20" s="30" t="str">
        <x:v>Customer Segmentation</x:v>
      </x:c>
      <x:c r="D20" s="30" t="str">
        <x:v>SQL / Power BI</x:v>
      </x:c>
      <x:c r="E20" t="str">
        <x:v>Intermediate</x:v>
      </x:c>
      <x:c r="F20" t="n">
        <x:v>7</x:v>
      </x:c>
      <x:c r="G20" t="n">
        <x:v>3</x:v>
      </x:c>
      <x:c r="H20" t="n">
        <x:v>15</x:v>
      </x:c>
      <x:c r="I20" t="str">
        <x:v>Ready</x:v>
      </x:c>
      <x:c r="J20" t="str"/>
    </x:row>
    <x:row r="21">
      <x:c r="A21" t="str">
        <x:v>CASE-017</x:v>
      </x:c>
      <x:c r="B21" t="str">
        <x:v>Customer Service</x:v>
      </x:c>
      <x:c r="C21" s="30" t="str">
        <x:v>Complaint Root-Cause Analysis</x:v>
      </x:c>
      <x:c r="D21" s="30" t="str">
        <x:v>SQL / Power BI</x:v>
      </x:c>
      <x:c r="E21" t="str">
        <x:v>Beginner</x:v>
      </x:c>
      <x:c r="F21" t="n">
        <x:v>5</x:v>
      </x:c>
      <x:c r="G21" t="n">
        <x:v>3</x:v>
      </x:c>
      <x:c r="H21" t="n">
        <x:v>15</x:v>
      </x:c>
      <x:c r="I21" t="str">
        <x:v>Ready</x:v>
      </x:c>
      <x:c r="J21" t="str"/>
    </x:row>
    <x:row r="22">
      <x:c r="A22" t="str">
        <x:v>CASE-018</x:v>
      </x:c>
      <x:c r="B22" t="str">
        <x:v>Customer Service</x:v>
      </x:c>
      <x:c r="C22" s="30" t="str">
        <x:v>Service Quality Review</x:v>
      </x:c>
      <x:c r="D22" s="30" t="str">
        <x:v>SQL / Power BI</x:v>
      </x:c>
      <x:c r="E22" t="str">
        <x:v>Intermediate</x:v>
      </x:c>
      <x:c r="F22" t="n">
        <x:v>5</x:v>
      </x:c>
      <x:c r="G22" t="n">
        <x:v>3</x:v>
      </x:c>
      <x:c r="H22" t="n">
        <x:v>15</x:v>
      </x:c>
      <x:c r="I22" t="str">
        <x:v>Ready</x:v>
      </x:c>
      <x:c r="J22" t="str"/>
    </x:row>
    <x:row r="23">
      <x:c r="A23" t="str">
        <x:v>CASE-019</x:v>
      </x:c>
      <x:c r="B23" t="str">
        <x:v>Information Technology</x:v>
      </x:c>
      <x:c r="C23" s="30" t="str">
        <x:v>Support Ticket Performance</x:v>
      </x:c>
      <x:c r="D23" s="30" t="str">
        <x:v>SQL / Power BI</x:v>
      </x:c>
      <x:c r="E23" t="str">
        <x:v>Beginner</x:v>
      </x:c>
      <x:c r="F23" t="n">
        <x:v>5</x:v>
      </x:c>
      <x:c r="G23" t="n">
        <x:v>3</x:v>
      </x:c>
      <x:c r="H23" t="n">
        <x:v>15</x:v>
      </x:c>
      <x:c r="I23" t="str">
        <x:v>Ready</x:v>
      </x:c>
      <x:c r="J23" t="str"/>
    </x:row>
    <x:row r="24">
      <x:c r="A24" t="str">
        <x:v>CASE-020</x:v>
      </x:c>
      <x:c r="B24" t="str">
        <x:v>Information Security</x:v>
      </x:c>
      <x:c r="C24" s="30" t="str">
        <x:v>Security Incident Trends</x:v>
      </x:c>
      <x:c r="D24" s="30" t="str">
        <x:v>SQL / Power BI</x:v>
      </x:c>
      <x:c r="E24" t="str">
        <x:v>Intermediate</x:v>
      </x:c>
      <x:c r="F24" t="n">
        <x:v>7</x:v>
      </x:c>
      <x:c r="G24" t="n">
        <x:v>3</x:v>
      </x:c>
      <x:c r="H24" t="n">
        <x:v>15</x:v>
      </x:c>
      <x:c r="I24" t="str">
        <x:v>Ready</x:v>
      </x:c>
      <x:c r="J24" t="str"/>
    </x:row>
    <x:row r="25">
      <x:c r="A25" t="str">
        <x:v>CASE-021</x:v>
      </x:c>
      <x:c r="B25" t="str">
        <x:v>Risk and Audit</x:v>
      </x:c>
      <x:c r="C25" s="30" t="str">
        <x:v>Audit Finding Closure</x:v>
      </x:c>
      <x:c r="D25" s="30" t="str">
        <x:v>SQL / Power BI</x:v>
      </x:c>
      <x:c r="E25" t="str">
        <x:v>Intermediate</x:v>
      </x:c>
      <x:c r="F25" t="n">
        <x:v>6</x:v>
      </x:c>
      <x:c r="G25" t="n">
        <x:v>3</x:v>
      </x:c>
      <x:c r="H25" t="n">
        <x:v>15</x:v>
      </x:c>
      <x:c r="I25" t="str">
        <x:v>Ready</x:v>
      </x:c>
      <x:c r="J25" t="str"/>
    </x:row>
    <x:row r="26">
      <x:c r="A26" t="str">
        <x:v>CASE-022</x:v>
      </x:c>
      <x:c r="B26" t="str">
        <x:v>Business Intelligence</x:v>
      </x:c>
      <x:c r="C26" s="30" t="str">
        <x:v>Enterprise KPI Quality Review</x:v>
      </x:c>
      <x:c r="D26" s="30" t="str">
        <x:v>SQL / Excel</x:v>
      </x:c>
      <x:c r="E26" t="str">
        <x:v>Advanced</x:v>
      </x:c>
      <x:c r="F26" t="n">
        <x:v>8</x:v>
      </x:c>
      <x:c r="G26" t="n">
        <x:v>3</x:v>
      </x:c>
      <x:c r="H26" t="n">
        <x:v>15</x:v>
      </x:c>
      <x:c r="I26" t="str">
        <x:v>Ready</x:v>
      </x:c>
      <x:c r="J26" t="str"/>
    </x:row>
    <x:row r="27">
      <x:c r="C27" s="30"/>
      <x:c r="D27" s="30"/>
    </x:row>
    <x:row r="28">
      <x:c r="C28" s="30"/>
      <x:c r="D28" s="30"/>
    </x:row>
    <x:row r="29">
      <x:c r="C29" s="30"/>
      <x:c r="D29" s="30"/>
    </x:row>
    <x:row r="30">
      <x:c r="C30" s="30"/>
      <x:c r="D30" s="30"/>
    </x:row>
    <x:row r="31">
      <x:c r="C31" s="30"/>
      <x:c r="D31" s="30"/>
    </x:row>
    <x:row r="32">
      <x:c r="C32" s="30"/>
      <x:c r="D32" s="30"/>
    </x:row>
    <x:row r="33">
      <x:c r="C33" s="30"/>
      <x:c r="D33" s="30"/>
    </x:row>
    <x:row r="34">
      <x:c r="C34" s="30"/>
      <x:c r="D34" s="30"/>
    </x:row>
    <x:row r="35">
      <x:c r="C35" s="30"/>
      <x:c r="D35" s="30"/>
    </x:row>
    <x:row r="36">
      <x:c r="C36" s="30"/>
      <x:c r="D36" s="30"/>
    </x:row>
    <x:row r="37">
      <x:c r="C37" s="30"/>
      <x:c r="D37" s="30"/>
    </x:row>
    <x:row r="38">
      <x:c r="C38" s="30"/>
      <x:c r="D38" s="30"/>
    </x:row>
    <x:row r="39">
      <x:c r="C39" s="30"/>
      <x:c r="D39" s="30"/>
    </x:row>
    <x:row r="40">
      <x:c r="C40" s="30"/>
      <x:c r="D40" s="30"/>
    </x:row>
    <x:row r="41">
      <x:c r="C41" s="30"/>
      <x:c r="D41" s="30"/>
    </x:row>
    <x:row r="42">
      <x:c r="C42" s="30"/>
      <x:c r="D42" s="30"/>
    </x:row>
    <x:row r="43">
      <x:c r="C43" s="30"/>
      <x:c r="D43" s="30"/>
    </x:row>
    <x:row r="44">
      <x:c r="C44" s="30"/>
      <x:c r="D44" s="30"/>
    </x:row>
    <x:row r="45">
      <x:c r="C45" s="30"/>
      <x:c r="D45" s="30"/>
    </x:row>
    <x:row r="46">
      <x:c r="C46" s="30"/>
      <x:c r="D46" s="30"/>
    </x:row>
    <x:row r="47">
      <x:c r="C47" s="30"/>
      <x:c r="D47" s="30"/>
    </x:row>
    <x:row r="48">
      <x:c r="C48" s="30"/>
      <x:c r="D48" s="30"/>
    </x:row>
    <x:row r="49">
      <x:c r="C49" s="30"/>
      <x:c r="D49" s="30"/>
    </x:row>
    <x:row r="50">
      <x:c r="C50" s="30"/>
      <x:c r="D50" s="30"/>
    </x:row>
    <x:row r="51">
      <x:c r="C51" s="30"/>
      <x:c r="D51" s="30"/>
    </x:row>
    <x:row r="52">
      <x:c r="C52" s="30"/>
      <x:c r="D52" s="30"/>
    </x:row>
    <x:row r="53">
      <x:c r="C53" s="30"/>
      <x:c r="D53" s="30"/>
    </x:row>
    <x:row r="54">
      <x:c r="C54" s="30"/>
      <x:c r="D54" s="30"/>
    </x:row>
    <x:row r="55">
      <x:c r="C55" s="30"/>
      <x:c r="D55" s="30"/>
    </x:row>
    <x:row r="56">
      <x:c r="C56" s="30"/>
      <x:c r="D56" s="30"/>
    </x:row>
    <x:row r="57">
      <x:c r="C57" s="30"/>
      <x:c r="D57" s="30"/>
    </x:row>
    <x:row r="58">
      <x:c r="C58" s="30"/>
      <x:c r="D58" s="30"/>
    </x:row>
    <x:row r="59">
      <x:c r="C59" s="30"/>
      <x:c r="D59" s="30"/>
    </x:row>
    <x:row r="60">
      <x:c r="C60" s="30"/>
      <x:c r="D60" s="30"/>
    </x:row>
    <x:row r="61">
      <x:c r="C61" s="30"/>
      <x:c r="D61" s="30"/>
    </x:row>
    <x:row r="62">
      <x:c r="C62" s="30"/>
      <x:c r="D62" s="30"/>
    </x:row>
    <x:row r="63">
      <x:c r="C63" s="30"/>
      <x:c r="D63" s="30"/>
    </x:row>
    <x:row r="64">
      <x:c r="C64" s="30"/>
      <x:c r="D64" s="30"/>
    </x:row>
    <x:row r="65">
      <x:c r="C65" s="30"/>
      <x:c r="D65" s="30"/>
    </x:row>
    <x:row r="66">
      <x:c r="C66" s="30"/>
      <x:c r="D66" s="30"/>
    </x:row>
    <x:row r="67">
      <x:c r="C67" s="30"/>
      <x:c r="D67" s="30"/>
    </x:row>
    <x:row r="68">
      <x:c r="C68" s="30"/>
      <x:c r="D68" s="30"/>
    </x:row>
    <x:row r="69">
      <x:c r="C69" s="30"/>
      <x:c r="D69" s="30"/>
    </x:row>
    <x:row r="70">
      <x:c r="C70" s="30"/>
      <x:c r="D70" s="30"/>
    </x:row>
    <x:row r="71">
      <x:c r="C71" s="30"/>
      <x:c r="D71" s="30"/>
    </x:row>
    <x:row r="72">
      <x:c r="C72" s="30"/>
      <x:c r="D72" s="30"/>
    </x:row>
    <x:row r="73">
      <x:c r="C73" s="30"/>
      <x:c r="D73" s="30"/>
    </x:row>
    <x:row r="74">
      <x:c r="C74" s="30"/>
      <x:c r="D74" s="30"/>
    </x:row>
    <x:row r="75">
      <x:c r="C75" s="30"/>
      <x:c r="D75" s="30"/>
    </x:row>
    <x:row r="76">
      <x:c r="C76" s="30"/>
      <x:c r="D76" s="30"/>
    </x:row>
    <x:row r="77">
      <x:c r="C77" s="30"/>
      <x:c r="D77" s="30"/>
    </x:row>
    <x:row r="78">
      <x:c r="C78" s="30"/>
      <x:c r="D78" s="30"/>
    </x:row>
    <x:row r="79">
      <x:c r="C79" s="30"/>
      <x:c r="D79" s="30"/>
    </x:row>
    <x:row r="80">
      <x:c r="C80" s="30"/>
      <x:c r="D80" s="30"/>
    </x:row>
    <x:row r="81">
      <x:c r="C81" s="30"/>
      <x:c r="D81" s="30"/>
    </x:row>
    <x:row r="82">
      <x:c r="C82" s="30"/>
      <x:c r="D82" s="30"/>
    </x:row>
    <x:row r="83">
      <x:c r="C83" s="30"/>
      <x:c r="D83" s="30"/>
    </x:row>
    <x:row r="84">
      <x:c r="C84" s="30"/>
      <x:c r="D84" s="30"/>
    </x:row>
    <x:row r="85">
      <x:c r="C85" s="30"/>
      <x:c r="D85" s="30"/>
    </x:row>
    <x:row r="86">
      <x:c r="C86" s="30"/>
      <x:c r="D86" s="30"/>
    </x:row>
    <x:row r="87">
      <x:c r="C87" s="30"/>
      <x:c r="D87" s="30"/>
    </x:row>
    <x:row r="88">
      <x:c r="C88" s="30"/>
      <x:c r="D88" s="30"/>
    </x:row>
    <x:row r="89">
      <x:c r="C89" s="30"/>
      <x:c r="D89" s="30"/>
    </x:row>
    <x:row r="90">
      <x:c r="C90" s="30"/>
      <x:c r="D90" s="30"/>
    </x:row>
    <x:row r="91">
      <x:c r="C91" s="30"/>
      <x:c r="D91" s="30"/>
    </x:row>
    <x:row r="92">
      <x:c r="C92" s="30"/>
      <x:c r="D92" s="30"/>
    </x:row>
    <x:row r="93">
      <x:c r="C93" s="30"/>
      <x:c r="D93" s="30"/>
    </x:row>
    <x:row r="94">
      <x:c r="C94" s="30"/>
      <x:c r="D94" s="30"/>
    </x:row>
    <x:row r="95">
      <x:c r="C95" s="30"/>
      <x:c r="D95" s="30"/>
    </x:row>
    <x:row r="96">
      <x:c r="C96" s="30"/>
      <x:c r="D96" s="30"/>
    </x:row>
    <x:row r="97">
      <x:c r="C97" s="30"/>
      <x:c r="D97" s="30"/>
    </x:row>
    <x:row r="98">
      <x:c r="C98" s="30"/>
      <x:c r="D98" s="30"/>
    </x:row>
    <x:row r="99">
      <x:c r="C99" s="30"/>
      <x:c r="D99" s="30"/>
    </x:row>
    <x:row r="100">
      <x:c r="C100" s="30"/>
      <x:c r="D100" s="30"/>
    </x:row>
  </x:sheetData>
  <x:mergeCells>
    <x:mergeCell ref="A1:J2"/>
  </x:mergeCells>
  <x:conditionalFormatting sqref="I5:I100">
    <x:cfRule type="expression" dxfId="0" priority="1">
      <x:formula>I5="Completed"</x:formula>
    </x:cfRule>
    <x:cfRule type="expression" dxfId="1" priority="2">
      <x:formula>I5="In Progress"</x:formula>
    </x:cfRule>
  </x:conditionalFormatting>
  <x:dataValidations count="2">
    <x:dataValidation type="list" sqref="E5:E100">
      <x:formula1>"Beginner,Intermediate,Advanced"</x:formula1>
    </x:dataValidation>
    <x:dataValidation type="list" sqref="I5:I100">
      <x:formula1>"Draft,Ready,Assigned,In Progress,Completed,Archived"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429b4bad1a46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34" hidden="0" customWidth="1"/>
    <x:col min="5" max="5" width="55" hidden="0" customWidth="1"/>
    <x:col min="6" max="6" width="16" hidden="0" customWidth="1"/>
    <x:col min="7" max="7" width="34" hidden="0" customWidth="1"/>
    <x:col min="8" max="8" width="14" hidden="0" customWidth="1"/>
    <x:col min="9" max="9" width="9" hidden="0" customWidth="1"/>
    <x:col min="10" max="10" width="20" hidden="0" customWidth="1"/>
    <x:col min="11" max="11" width="16" hidden="0" customWidth="1"/>
    <x:col min="12" max="12" width="10" hidden="0" customWidth="1"/>
    <x:col min="13" max="13" width="17" hidden="0" customWidth="1"/>
    <x:col min="14" max="14" width="36" hidden="0" customWidth="1"/>
  </x:cols>
  <x:sheetData>
    <x:row r="1" ht="30" customHeight="1">
      <x:c r="A1" s="5" t="str">
        <x:v>SQL Question and Assessment Matrix</x:v>
      </x:c>
    </x:row>
    <x:row r="4">
      <x:c r="A4" s="14" t="str">
        <x:v>Question ID</x:v>
      </x:c>
      <x:c r="B4" s="14" t="str">
        <x:v>Case ID</x:v>
      </x:c>
      <x:c r="C4" s="14" t="str">
        <x:v>Department</x:v>
      </x:c>
      <x:c r="D4" s="14" t="str">
        <x:v>Case Title</x:v>
      </x:c>
      <x:c r="E4" s="14" t="str">
        <x:v>Business Question</x:v>
      </x:c>
      <x:c r="F4" s="14" t="str">
        <x:v>Question Type</x:v>
      </x:c>
      <x:c r="G4" s="14" t="str">
        <x:v>Technique</x:v>
      </x:c>
      <x:c r="H4" s="14" t="str">
        <x:v>Difficulty</x:v>
      </x:c>
      <x:c r="I4" s="14" t="str">
        <x:v>Marks</x:v>
      </x:c>
      <x:c r="J4" s="14" t="str">
        <x:v>Required Database</x:v>
      </x:c>
      <x:c r="K4" s="14" t="str">
        <x:v>Student Status</x:v>
      </x:c>
      <x:c r="L4" s="14" t="str">
        <x:v>Score</x:v>
      </x:c>
      <x:c r="M4" s="14" t="str">
        <x:v>Classification</x:v>
      </x:c>
      <x:c r="N4" s="14" t="str">
        <x:v>Evidence Reference</x:v>
      </x:c>
    </x:row>
    <x:row r="5">
      <x:c r="A5" t="str">
        <x:v>Q-001</x:v>
      </x:c>
      <x:c r="B5" t="str">
        <x:v>CASE-001</x:v>
      </x:c>
      <x:c r="C5" t="str">
        <x:v>Executive Management</x:v>
      </x:c>
      <x:c r="D5" s="30" t="str">
        <x:v>Branch Performance Review</x:v>
      </x:c>
      <x:c r="E5" s="30" t="str">
        <x:v>Which branch generated the highest completed sales revenue?</x:v>
      </x:c>
      <x:c r="F5" s="30" t="str">
        <x:v>Descriptive</x:v>
      </x:c>
      <x:c r="G5" s="30" t="str">
        <x:v>SUM, COUNT, GROUP BY, ranking</x:v>
      </x:c>
      <x:c r="H5" t="str">
        <x:v>Intermediate</x:v>
      </x:c>
      <x:c r="I5" t="n">
        <x:v>5</x:v>
      </x:c>
      <x:c r="J5" t="str">
        <x:v>Phase 1 + Phase 2</x:v>
      </x:c>
      <x:c r="K5" t="str">
        <x:v>Not Assigned</x:v>
      </x:c>
      <x:c r="L5" t="str"/>
      <x:c r="M5" t="str">
        <x:f>IF(L5="","",IF(L5=5,"Excellent",IF(L5&gt;=4,"Competent",IF(L5&gt;=3,"Developing","Requires Rework"))))</x:f>
      </x:c>
      <x:c r="N5" s="30" t="str"/>
    </x:row>
    <x:row r="6">
      <x:c r="A6" t="str">
        <x:v>Q-002</x:v>
      </x:c>
      <x:c r="B6" t="str">
        <x:v>CASE-001</x:v>
      </x:c>
      <x:c r="C6" t="str">
        <x:v>Executive Management</x:v>
      </x:c>
      <x:c r="D6" s="30" t="str">
        <x:v>Branch Performance Review</x:v>
      </x:c>
      <x:c r="E6" s="30" t="str">
        <x:v>Which branch had the highest gross margin percentage?</x:v>
      </x:c>
      <x:c r="F6" s="30" t="str">
        <x:v>Diagnostic</x:v>
      </x:c>
      <x:c r="G6" s="30" t="str">
        <x:v>Joins, gross profit percentage</x:v>
      </x:c>
      <x:c r="H6" t="str">
        <x:v>Intermediate</x:v>
      </x:c>
      <x:c r="I6" t="n">
        <x:v>5</x:v>
      </x:c>
      <x:c r="J6" t="str">
        <x:v>Phase 1 + Phase 2</x:v>
      </x:c>
      <x:c r="K6" t="str">
        <x:v>Not Assigned</x:v>
      </x:c>
      <x:c r="L6" t="str"/>
      <x:c r="M6" t="str">
        <x:f>IF(L6="","",IF(L6=5,"Excellent",IF(L6&gt;=4,"Competent",IF(L6&gt;=3,"Developing","Requires Rework"))))</x:f>
      </x:c>
      <x:c r="N6" s="30" t="str"/>
    </x:row>
    <x:row r="7">
      <x:c r="A7" t="str">
        <x:v>Q-003</x:v>
      </x:c>
      <x:c r="B7" t="str">
        <x:v>CASE-001</x:v>
      </x:c>
      <x:c r="C7" t="str">
        <x:v>Executive Management</x:v>
      </x:c>
      <x:c r="D7" s="30" t="str">
        <x:v>Branch Performance Review</x:v>
      </x:c>
      <x:c r="E7" s="30" t="str">
        <x:v>Which branch requires immediate management attention and why?</x:v>
      </x:c>
      <x:c r="F7" s="30" t="str">
        <x:v>Prescriptive</x:v>
      </x:c>
      <x:c r="G7" s="30" t="str">
        <x:v>Multi-KPI risk scoring</x:v>
      </x:c>
      <x:c r="H7" t="str">
        <x:v>Intermediate</x:v>
      </x:c>
      <x:c r="I7" t="n">
        <x:v>5</x:v>
      </x:c>
      <x:c r="J7" t="str">
        <x:v>Phase 1 + Phase 2</x:v>
      </x:c>
      <x:c r="K7" t="str">
        <x:v>Not Assigned</x:v>
      </x:c>
      <x:c r="L7" t="str"/>
      <x:c r="M7" t="str">
        <x:f>IF(L7="","",IF(L7=5,"Excellent",IF(L7&gt;=4,"Competent",IF(L7&gt;=3,"Developing","Requires Rework"))))</x:f>
      </x:c>
      <x:c r="N7" s="30" t="str"/>
    </x:row>
    <x:row r="8">
      <x:c r="A8" t="str">
        <x:v>Q-004</x:v>
      </x:c>
      <x:c r="B8" t="str">
        <x:v>CASE-002</x:v>
      </x:c>
      <x:c r="C8" t="str">
        <x:v>Executive Management</x:v>
      </x:c>
      <x:c r="D8" s="30" t="str">
        <x:v>Quarterly Management Pack</x:v>
      </x:c>
      <x:c r="E8" s="30" t="str">
        <x:v>What changed in revenue, profit, expenses, complaints, and stock risk during the quarter?</x:v>
      </x:c>
      <x:c r="F8" s="30" t="str">
        <x:v>Descriptive</x:v>
      </x:c>
      <x:c r="G8" s="30" t="str">
        <x:v>Monthly trend aggregation</x:v>
      </x:c>
      <x:c r="H8" t="str">
        <x:v>Intermediate</x:v>
      </x:c>
      <x:c r="I8" t="n">
        <x:v>5</x:v>
      </x:c>
      <x:c r="J8" t="str">
        <x:v>Phase 1 + Phase 2</x:v>
      </x:c>
      <x:c r="K8" t="str">
        <x:v>Not Assigned</x:v>
      </x:c>
      <x:c r="L8" t="str"/>
      <x:c r="M8" t="str">
        <x:f>IF(L8="","",IF(L8=5,"Excellent",IF(L8&gt;=4,"Competent",IF(L8&gt;=3,"Developing","Requires Rework"))))</x:f>
      </x:c>
      <x:c r="N8" s="30" t="str"/>
    </x:row>
    <x:row r="9">
      <x:c r="A9" t="str">
        <x:v>Q-005</x:v>
      </x:c>
      <x:c r="B9" t="str">
        <x:v>CASE-002</x:v>
      </x:c>
      <x:c r="C9" t="str">
        <x:v>Executive Management</x:v>
      </x:c>
      <x:c r="D9" s="30" t="str">
        <x:v>Quarterly Management Pack</x:v>
      </x:c>
      <x:c r="E9" s="30" t="str">
        <x:v>Which three issues create the greatest management risk?</x:v>
      </x:c>
      <x:c r="F9" s="30" t="str">
        <x:v>Diagnostic</x:v>
      </x:c>
      <x:c r="G9" s="30" t="str">
        <x:v>Cross-domain risk prioritization</x:v>
      </x:c>
      <x:c r="H9" t="str">
        <x:v>Intermediate</x:v>
      </x:c>
      <x:c r="I9" t="n">
        <x:v>5</x:v>
      </x:c>
      <x:c r="J9" t="str">
        <x:v>Phase 1 + Phase 2</x:v>
      </x:c>
      <x:c r="K9" t="str">
        <x:v>Not Assigned</x:v>
      </x:c>
      <x:c r="L9" t="str"/>
      <x:c r="M9" t="str">
        <x:f>IF(L9="","",IF(L9=5,"Excellent",IF(L9&gt;=4,"Competent",IF(L9&gt;=3,"Developing","Requires Rework"))))</x:f>
      </x:c>
      <x:c r="N9" s="30" t="str"/>
    </x:row>
    <x:row r="10">
      <x:c r="A10" t="str">
        <x:v>Q-006</x:v>
      </x:c>
      <x:c r="B10" t="str">
        <x:v>CASE-002</x:v>
      </x:c>
      <x:c r="C10" t="str">
        <x:v>Executive Management</x:v>
      </x:c>
      <x:c r="D10" s="30" t="str">
        <x:v>Quarterly Management Pack</x:v>
      </x:c>
      <x:c r="E10" s="30" t="str">
        <x:v>What actions should be included in the next-quarter plan?</x:v>
      </x:c>
      <x:c r="F10" s="30" t="str">
        <x:v>Prescriptive</x:v>
      </x:c>
      <x:c r="G10" s="30" t="str">
        <x:v>SQL-generated action register</x:v>
      </x:c>
      <x:c r="H10" t="str">
        <x:v>Intermediate</x:v>
      </x:c>
      <x:c r="I10" t="n">
        <x:v>5</x:v>
      </x:c>
      <x:c r="J10" t="str">
        <x:v>Phase 1 + Phase 2</x:v>
      </x:c>
      <x:c r="K10" t="str">
        <x:v>Not Assigned</x:v>
      </x:c>
      <x:c r="L10" t="str"/>
      <x:c r="M10" t="str">
        <x:f>IF(L10="","",IF(L10=5,"Excellent",IF(L10&gt;=4,"Competent",IF(L10&gt;=3,"Developing","Requires Rework"))))</x:f>
      </x:c>
      <x:c r="N10" s="30" t="str"/>
    </x:row>
    <x:row r="11">
      <x:c r="A11" t="str">
        <x:v>Q-007</x:v>
      </x:c>
      <x:c r="B11" t="str">
        <x:v>CASE-003</x:v>
      </x:c>
      <x:c r="C11" t="str">
        <x:v>Sales</x:v>
      </x:c>
      <x:c r="D11" s="30" t="str">
        <x:v>Branch Sales Decline</x:v>
      </x:c>
      <x:c r="E11" s="30" t="str">
        <x:v>Which branches experienced the largest sales decline?</x:v>
      </x:c>
      <x:c r="F11" s="30" t="str">
        <x:v>Diagnostic</x:v>
      </x:c>
      <x:c r="G11" s="30" t="str">
        <x:v>Current versus previous period</x:v>
      </x:c>
      <x:c r="H11" t="str">
        <x:v>Intermediate</x:v>
      </x:c>
      <x:c r="I11" t="n">
        <x:v>5</x:v>
      </x:c>
      <x:c r="J11" t="str">
        <x:v>Phase 1</x:v>
      </x:c>
      <x:c r="K11" t="str">
        <x:v>Not Assigned</x:v>
      </x:c>
      <x:c r="L11" t="str"/>
      <x:c r="M11" t="str">
        <x:f>IF(L11="","",IF(L11=5,"Excellent",IF(L11&gt;=4,"Competent",IF(L11&gt;=3,"Developing","Requires Rework"))))</x:f>
      </x:c>
      <x:c r="N11" s="30" t="str"/>
    </x:row>
    <x:row r="12">
      <x:c r="A12" t="str">
        <x:v>Q-008</x:v>
      </x:c>
      <x:c r="B12" t="str">
        <x:v>CASE-003</x:v>
      </x:c>
      <x:c r="C12" t="str">
        <x:v>Sales</x:v>
      </x:c>
      <x:c r="D12" s="30" t="str">
        <x:v>Branch Sales Decline</x:v>
      </x:c>
      <x:c r="E12" s="30" t="str">
        <x:v>Which products and channels explain the decline?</x:v>
      </x:c>
      <x:c r="F12" s="30" t="str">
        <x:v>Diagnostic</x:v>
      </x:c>
      <x:c r="G12" s="30" t="str">
        <x:v>Multi-dimensional variance</x:v>
      </x:c>
      <x:c r="H12" t="str">
        <x:v>Intermediate</x:v>
      </x:c>
      <x:c r="I12" t="n">
        <x:v>5</x:v>
      </x:c>
      <x:c r="J12" t="str">
        <x:v>Phase 1</x:v>
      </x:c>
      <x:c r="K12" t="str">
        <x:v>Not Assigned</x:v>
      </x:c>
      <x:c r="L12" t="str"/>
      <x:c r="M12" t="str">
        <x:f>IF(L12="","",IF(L12=5,"Excellent",IF(L12&gt;=4,"Competent",IF(L12&gt;=3,"Developing","Requires Rework"))))</x:f>
      </x:c>
      <x:c r="N12" s="30" t="str"/>
    </x:row>
    <x:row r="13">
      <x:c r="A13" t="str">
        <x:v>Q-009</x:v>
      </x:c>
      <x:c r="B13" t="str">
        <x:v>CASE-003</x:v>
      </x:c>
      <x:c r="C13" t="str">
        <x:v>Sales</x:v>
      </x:c>
      <x:c r="D13" s="30" t="str">
        <x:v>Branch Sales Decline</x:v>
      </x:c>
      <x:c r="E13" s="30" t="str">
        <x:v>What recovery actions should sales management prioritize?</x:v>
      </x:c>
      <x:c r="F13" s="30" t="str">
        <x:v>Prescriptive</x:v>
      </x:c>
      <x:c r="G13" s="30" t="str">
        <x:v>Rule-based recommendations</x:v>
      </x:c>
      <x:c r="H13" t="str">
        <x:v>Intermediate</x:v>
      </x:c>
      <x:c r="I13" t="n">
        <x:v>5</x:v>
      </x:c>
      <x:c r="J13" t="str">
        <x:v>Phase 1</x:v>
      </x:c>
      <x:c r="K13" t="str">
        <x:v>Not Assigned</x:v>
      </x:c>
      <x:c r="L13" t="str"/>
      <x:c r="M13" t="str">
        <x:f>IF(L13="","",IF(L13=5,"Excellent",IF(L13&gt;=4,"Competent",IF(L13&gt;=3,"Developing","Requires Rework"))))</x:f>
      </x:c>
      <x:c r="N13" s="30" t="str"/>
    </x:row>
    <x:row r="14">
      <x:c r="A14" t="str">
        <x:v>Q-010</x:v>
      </x:c>
      <x:c r="B14" t="str">
        <x:v>CASE-004</x:v>
      </x:c>
      <x:c r="C14" t="str">
        <x:v>Sales</x:v>
      </x:c>
      <x:c r="D14" s="30" t="str">
        <x:v>Sales Representative Performance</x:v>
      </x:c>
      <x:c r="E14" s="30" t="str">
        <x:v>Which sales representatives met or exceeded target?</x:v>
      </x:c>
      <x:c r="F14" s="30" t="str">
        <x:v>Descriptive</x:v>
      </x:c>
      <x:c r="G14" s="30" t="str">
        <x:v>Actual versus target</x:v>
      </x:c>
      <x:c r="H14" t="str">
        <x:v>Beginner</x:v>
      </x:c>
      <x:c r="I14" t="n">
        <x:v>5</x:v>
      </x:c>
      <x:c r="J14" t="str">
        <x:v>Phase 1</x:v>
      </x:c>
      <x:c r="K14" t="str">
        <x:v>Not Assigned</x:v>
      </x:c>
      <x:c r="L14" t="str"/>
      <x:c r="M14" t="str">
        <x:f>IF(L14="","",IF(L14=5,"Excellent",IF(L14&gt;=4,"Competent",IF(L14&gt;=3,"Developing","Requires Rework"))))</x:f>
      </x:c>
      <x:c r="N14" s="30" t="str"/>
    </x:row>
    <x:row r="15">
      <x:c r="A15" t="str">
        <x:v>Q-011</x:v>
      </x:c>
      <x:c r="B15" t="str">
        <x:v>CASE-004</x:v>
      </x:c>
      <x:c r="C15" t="str">
        <x:v>Sales</x:v>
      </x:c>
      <x:c r="D15" s="30" t="str">
        <x:v>Sales Representative Performance</x:v>
      </x:c>
      <x:c r="E15" s="30" t="str">
        <x:v>Which employees have high revenue but low customer acquisition?</x:v>
      </x:c>
      <x:c r="F15" s="30" t="str">
        <x:v>Diagnostic</x:v>
      </x:c>
      <x:c r="G15" s="30" t="str">
        <x:v>Benchmark comparison</x:v>
      </x:c>
      <x:c r="H15" t="str">
        <x:v>Beginner</x:v>
      </x:c>
      <x:c r="I15" t="n">
        <x:v>5</x:v>
      </x:c>
      <x:c r="J15" t="str">
        <x:v>Phase 1</x:v>
      </x:c>
      <x:c r="K15" t="str">
        <x:v>Not Assigned</x:v>
      </x:c>
      <x:c r="L15" t="str"/>
      <x:c r="M15" t="str">
        <x:f>IF(L15="","",IF(L15=5,"Excellent",IF(L15&gt;=4,"Competent",IF(L15&gt;=3,"Developing","Requires Rework"))))</x:f>
      </x:c>
      <x:c r="N15" s="30" t="str"/>
    </x:row>
    <x:row r="16">
      <x:c r="A16" t="str">
        <x:v>Q-012</x:v>
      </x:c>
      <x:c r="B16" t="str">
        <x:v>CASE-004</x:v>
      </x:c>
      <x:c r="C16" t="str">
        <x:v>Sales</x:v>
      </x:c>
      <x:c r="D16" s="30" t="str">
        <x:v>Sales Representative Performance</x:v>
      </x:c>
      <x:c r="E16" s="30" t="str">
        <x:v>Which employees require coaching or revised targets?</x:v>
      </x:c>
      <x:c r="F16" s="30" t="str">
        <x:v>Prescriptive</x:v>
      </x:c>
      <x:c r="G16" s="30" t="str">
        <x:v>Performance classification</x:v>
      </x:c>
      <x:c r="H16" t="str">
        <x:v>Beginner</x:v>
      </x:c>
      <x:c r="I16" t="n">
        <x:v>5</x:v>
      </x:c>
      <x:c r="J16" t="str">
        <x:v>Phase 1</x:v>
      </x:c>
      <x:c r="K16" t="str">
        <x:v>Not Assigned</x:v>
      </x:c>
      <x:c r="L16" t="str"/>
      <x:c r="M16" t="str">
        <x:f>IF(L16="","",IF(L16=5,"Excellent",IF(L16&gt;=4,"Competent",IF(L16&gt;=3,"Developing","Requires Rework"))))</x:f>
      </x:c>
      <x:c r="N16" s="30" t="str"/>
    </x:row>
    <x:row r="17">
      <x:c r="A17" t="str">
        <x:v>Q-013</x:v>
      </x:c>
      <x:c r="B17" t="str">
        <x:v>CASE-005</x:v>
      </x:c>
      <x:c r="C17" t="str">
        <x:v>Finance</x:v>
      </x:c>
      <x:c r="D17" s="30" t="str">
        <x:v>Budget Overspending</x:v>
      </x:c>
      <x:c r="E17" s="30" t="str">
        <x:v>Which departments exceeded approved budgets?</x:v>
      </x:c>
      <x:c r="F17" s="30" t="str">
        <x:v>Descriptive</x:v>
      </x:c>
      <x:c r="G17" s="30" t="str">
        <x:v>Budget-to-actual variance</x:v>
      </x:c>
      <x:c r="H17" t="str">
        <x:v>Intermediate</x:v>
      </x:c>
      <x:c r="I17" t="n">
        <x:v>5</x:v>
      </x:c>
      <x:c r="J17" t="str">
        <x:v>Phase 1</x:v>
      </x:c>
      <x:c r="K17" t="str">
        <x:v>Not Assigned</x:v>
      </x:c>
      <x:c r="L17" t="str"/>
      <x:c r="M17" t="str">
        <x:f>IF(L17="","",IF(L17=5,"Excellent",IF(L17&gt;=4,"Competent",IF(L17&gt;=3,"Developing","Requires Rework"))))</x:f>
      </x:c>
      <x:c r="N17" s="30" t="str"/>
    </x:row>
    <x:row r="18">
      <x:c r="A18" t="str">
        <x:v>Q-014</x:v>
      </x:c>
      <x:c r="B18" t="str">
        <x:v>CASE-005</x:v>
      </x:c>
      <x:c r="C18" t="str">
        <x:v>Finance</x:v>
      </x:c>
      <x:c r="D18" s="30" t="str">
        <x:v>Budget Overspending</x:v>
      </x:c>
      <x:c r="E18" s="30" t="str">
        <x:v>Which expense categories explain the overspending?</x:v>
      </x:c>
      <x:c r="F18" s="30" t="str">
        <x:v>Diagnostic</x:v>
      </x:c>
      <x:c r="G18" s="30" t="str">
        <x:v>Category variance analysis</x:v>
      </x:c>
      <x:c r="H18" t="str">
        <x:v>Intermediate</x:v>
      </x:c>
      <x:c r="I18" t="n">
        <x:v>5</x:v>
      </x:c>
      <x:c r="J18" t="str">
        <x:v>Phase 1</x:v>
      </x:c>
      <x:c r="K18" t="str">
        <x:v>Not Assigned</x:v>
      </x:c>
      <x:c r="L18" t="str"/>
      <x:c r="M18" t="str">
        <x:f>IF(L18="","",IF(L18=5,"Excellent",IF(L18&gt;=4,"Competent",IF(L18&gt;=3,"Developing","Requires Rework"))))</x:f>
      </x:c>
      <x:c r="N18" s="30" t="str"/>
    </x:row>
    <x:row r="19">
      <x:c r="A19" t="str">
        <x:v>Q-015</x:v>
      </x:c>
      <x:c r="B19" t="str">
        <x:v>CASE-005</x:v>
      </x:c>
      <x:c r="C19" t="str">
        <x:v>Finance</x:v>
      </x:c>
      <x:c r="D19" s="30" t="str">
        <x:v>Budget Overspending</x:v>
      </x:c>
      <x:c r="E19" s="30" t="str">
        <x:v>What cost-control actions should be introduced?</x:v>
      </x:c>
      <x:c r="F19" s="30" t="str">
        <x:v>Prescriptive</x:v>
      </x:c>
      <x:c r="G19" s="30" t="str">
        <x:v>Overspend action rules</x:v>
      </x:c>
      <x:c r="H19" t="str">
        <x:v>Intermediate</x:v>
      </x:c>
      <x:c r="I19" t="n">
        <x:v>5</x:v>
      </x:c>
      <x:c r="J19" t="str">
        <x:v>Phase 1</x:v>
      </x:c>
      <x:c r="K19" t="str">
        <x:v>Not Assigned</x:v>
      </x:c>
      <x:c r="L19" t="str"/>
      <x:c r="M19" t="str">
        <x:f>IF(L19="","",IF(L19=5,"Excellent",IF(L19&gt;=4,"Competent",IF(L19&gt;=3,"Developing","Requires Rework"))))</x:f>
      </x:c>
      <x:c r="N19" s="30" t="str"/>
    </x:row>
    <x:row r="20">
      <x:c r="A20" t="str">
        <x:v>Q-016</x:v>
      </x:c>
      <x:c r="B20" t="str">
        <x:v>CASE-006</x:v>
      </x:c>
      <x:c r="C20" t="str">
        <x:v>Finance</x:v>
      </x:c>
      <x:c r="D20" s="30" t="str">
        <x:v>Customer Receivables Risk</x:v>
      </x:c>
      <x:c r="E20" s="30" t="str">
        <x:v>What is the total outstanding customer balance?</x:v>
      </x:c>
      <x:c r="F20" s="30" t="str">
        <x:v>Descriptive</x:v>
      </x:c>
      <x:c r="G20" s="30" t="str">
        <x:v>Orders less completed payments</x:v>
      </x:c>
      <x:c r="H20" t="str">
        <x:v>Intermediate</x:v>
      </x:c>
      <x:c r="I20" t="n">
        <x:v>5</x:v>
      </x:c>
      <x:c r="J20" t="str">
        <x:v>Phase 1</x:v>
      </x:c>
      <x:c r="K20" t="str">
        <x:v>Not Assigned</x:v>
      </x:c>
      <x:c r="L20" t="str"/>
      <x:c r="M20" t="str">
        <x:f>IF(L20="","",IF(L20=5,"Excellent",IF(L20&gt;=4,"Competent",IF(L20&gt;=3,"Developing","Requires Rework"))))</x:f>
      </x:c>
      <x:c r="N20" s="30" t="str"/>
    </x:row>
    <x:row r="21">
      <x:c r="A21" t="str">
        <x:v>Q-017</x:v>
      </x:c>
      <x:c r="B21" t="str">
        <x:v>CASE-006</x:v>
      </x:c>
      <x:c r="C21" t="str">
        <x:v>Finance</x:v>
      </x:c>
      <x:c r="D21" s="30" t="str">
        <x:v>Customer Receivables Risk</x:v>
      </x:c>
      <x:c r="E21" s="30" t="str">
        <x:v>Which customers have the highest unpaid balances?</x:v>
      </x:c>
      <x:c r="F21" s="30" t="str">
        <x:v>Diagnostic</x:v>
      </x:c>
      <x:c r="G21" s="30" t="str">
        <x:v>Customer aggregation</x:v>
      </x:c>
      <x:c r="H21" t="str">
        <x:v>Intermediate</x:v>
      </x:c>
      <x:c r="I21" t="n">
        <x:v>5</x:v>
      </x:c>
      <x:c r="J21" t="str">
        <x:v>Phase 1</x:v>
      </x:c>
      <x:c r="K21" t="str">
        <x:v>Not Assigned</x:v>
      </x:c>
      <x:c r="L21" t="str"/>
      <x:c r="M21" t="str">
        <x:f>IF(L21="","",IF(L21=5,"Excellent",IF(L21&gt;=4,"Competent",IF(L21&gt;=3,"Developing","Requires Rework"))))</x:f>
      </x:c>
      <x:c r="N21" s="30" t="str"/>
    </x:row>
    <x:row r="22">
      <x:c r="A22" t="str">
        <x:v>Q-018</x:v>
      </x:c>
      <x:c r="B22" t="str">
        <x:v>CASE-006</x:v>
      </x:c>
      <x:c r="C22" t="str">
        <x:v>Finance</x:v>
      </x:c>
      <x:c r="D22" s="30" t="str">
        <x:v>Customer Receivables Risk</x:v>
      </x:c>
      <x:c r="E22" s="30" t="str">
        <x:v>Which accounts should finance prioritize for collection?</x:v>
      </x:c>
      <x:c r="F22" s="30" t="str">
        <x:v>Prescriptive</x:v>
      </x:c>
      <x:c r="G22" s="30" t="str">
        <x:v>Aging and balance risk ranking</x:v>
      </x:c>
      <x:c r="H22" t="str">
        <x:v>Intermediate</x:v>
      </x:c>
      <x:c r="I22" t="n">
        <x:v>5</x:v>
      </x:c>
      <x:c r="J22" t="str">
        <x:v>Phase 1</x:v>
      </x:c>
      <x:c r="K22" t="str">
        <x:v>Not Assigned</x:v>
      </x:c>
      <x:c r="L22" t="str"/>
      <x:c r="M22" t="str">
        <x:f>IF(L22="","",IF(L22=5,"Excellent",IF(L22&gt;=4,"Competent",IF(L22&gt;=3,"Developing","Requires Rework"))))</x:f>
      </x:c>
      <x:c r="N22" s="30" t="str"/>
    </x:row>
    <x:row r="23">
      <x:c r="A23" t="str">
        <x:v>Q-019</x:v>
      </x:c>
      <x:c r="B23" t="str">
        <x:v>CASE-007</x:v>
      </x:c>
      <x:c r="C23" t="str">
        <x:v>Human Resources</x:v>
      </x:c>
      <x:c r="D23" s="30" t="str">
        <x:v>Employee Attendance Risk</x:v>
      </x:c>
      <x:c r="E23" s="30" t="str">
        <x:v>What are the attendance and lateness rates by branch?</x:v>
      </x:c>
      <x:c r="F23" s="30" t="str">
        <x:v>Descriptive</x:v>
      </x:c>
      <x:c r="G23" s="30" t="str">
        <x:v>Conditional aggregation</x:v>
      </x:c>
      <x:c r="H23" t="str">
        <x:v>Beginner</x:v>
      </x:c>
      <x:c r="I23" t="n">
        <x:v>5</x:v>
      </x:c>
      <x:c r="J23" t="str">
        <x:v>Phase 1</x:v>
      </x:c>
      <x:c r="K23" t="str">
        <x:v>Not Assigned</x:v>
      </x:c>
      <x:c r="L23" t="str"/>
      <x:c r="M23" t="str">
        <x:f>IF(L23="","",IF(L23=5,"Excellent",IF(L23&gt;=4,"Competent",IF(L23&gt;=3,"Developing","Requires Rework"))))</x:f>
      </x:c>
      <x:c r="N23" s="30" t="str"/>
    </x:row>
    <x:row r="24">
      <x:c r="A24" t="str">
        <x:v>Q-020</x:v>
      </x:c>
      <x:c r="B24" t="str">
        <x:v>CASE-007</x:v>
      </x:c>
      <x:c r="C24" t="str">
        <x:v>Human Resources</x:v>
      </x:c>
      <x:c r="D24" s="30" t="str">
        <x:v>Employee Attendance Risk</x:v>
      </x:c>
      <x:c r="E24" s="30" t="str">
        <x:v>Which employees show repeated attendance problems?</x:v>
      </x:c>
      <x:c r="F24" s="30" t="str">
        <x:v>Diagnostic</x:v>
      </x:c>
      <x:c r="G24" s="30" t="str">
        <x:v>Employee pattern analysis</x:v>
      </x:c>
      <x:c r="H24" t="str">
        <x:v>Beginner</x:v>
      </x:c>
      <x:c r="I24" t="n">
        <x:v>5</x:v>
      </x:c>
      <x:c r="J24" t="str">
        <x:v>Phase 1</x:v>
      </x:c>
      <x:c r="K24" t="str">
        <x:v>Not Assigned</x:v>
      </x:c>
      <x:c r="L24" t="str"/>
      <x:c r="M24" t="str">
        <x:f>IF(L24="","",IF(L24=5,"Excellent",IF(L24&gt;=4,"Competent",IF(L24&gt;=3,"Developing","Requires Rework"))))</x:f>
      </x:c>
      <x:c r="N24" s="30" t="str"/>
    </x:row>
    <x:row r="25">
      <x:c r="A25" t="str">
        <x:v>Q-021</x:v>
      </x:c>
      <x:c r="B25" t="str">
        <x:v>CASE-007</x:v>
      </x:c>
      <x:c r="C25" t="str">
        <x:v>Human Resources</x:v>
      </x:c>
      <x:c r="D25" s="30" t="str">
        <x:v>Employee Attendance Risk</x:v>
      </x:c>
      <x:c r="E25" s="30" t="str">
        <x:v>What HR interventions are recommended?</x:v>
      </x:c>
      <x:c r="F25" s="30" t="str">
        <x:v>Prescriptive</x:v>
      </x:c>
      <x:c r="G25" s="30" t="str">
        <x:v>Attendance intervention rules</x:v>
      </x:c>
      <x:c r="H25" t="str">
        <x:v>Beginner</x:v>
      </x:c>
      <x:c r="I25" t="n">
        <x:v>5</x:v>
      </x:c>
      <x:c r="J25" t="str">
        <x:v>Phase 1</x:v>
      </x:c>
      <x:c r="K25" t="str">
        <x:v>Not Assigned</x:v>
      </x:c>
      <x:c r="L25" t="str"/>
      <x:c r="M25" t="str">
        <x:f>IF(L25="","",IF(L25=5,"Excellent",IF(L25&gt;=4,"Competent",IF(L25&gt;=3,"Developing","Requires Rework"))))</x:f>
      </x:c>
      <x:c r="N25" s="30" t="str"/>
    </x:row>
    <x:row r="26">
      <x:c r="A26" t="str">
        <x:v>Q-022</x:v>
      </x:c>
      <x:c r="B26" t="str">
        <x:v>CASE-008</x:v>
      </x:c>
      <x:c r="C26" t="str">
        <x:v>Human Resources</x:v>
      </x:c>
      <x:c r="D26" s="30" t="str">
        <x:v>Payroll Cost Review</x:v>
      </x:c>
      <x:c r="E26" s="30" t="str">
        <x:v>What is total payroll by department and branch?</x:v>
      </x:c>
      <x:c r="F26" s="30" t="str">
        <x:v>Descriptive</x:v>
      </x:c>
      <x:c r="G26" s="30" t="str">
        <x:v>Payroll aggregation</x:v>
      </x:c>
      <x:c r="H26" t="str">
        <x:v>Beginner</x:v>
      </x:c>
      <x:c r="I26" t="n">
        <x:v>5</x:v>
      </x:c>
      <x:c r="J26" t="str">
        <x:v>Phase 1</x:v>
      </x:c>
      <x:c r="K26" t="str">
        <x:v>Not Assigned</x:v>
      </x:c>
      <x:c r="L26" t="str"/>
      <x:c r="M26" t="str">
        <x:f>IF(L26="","",IF(L26=5,"Excellent",IF(L26&gt;=4,"Competent",IF(L26&gt;=3,"Developing","Requires Rework"))))</x:f>
      </x:c>
      <x:c r="N26" s="30" t="str"/>
    </x:row>
    <x:row r="27">
      <x:c r="A27" t="str">
        <x:v>Q-023</x:v>
      </x:c>
      <x:c r="B27" t="str">
        <x:v>CASE-008</x:v>
      </x:c>
      <x:c r="C27" t="str">
        <x:v>Human Resources</x:v>
      </x:c>
      <x:c r="D27" s="30" t="str">
        <x:v>Payroll Cost Review</x:v>
      </x:c>
      <x:c r="E27" s="30" t="str">
        <x:v>How is salary distributed across job levels?</x:v>
      </x:c>
      <x:c r="F27" s="30" t="str">
        <x:v>Descriptive</x:v>
      </x:c>
      <x:c r="G27" s="30" t="str">
        <x:v>Distribution summary</x:v>
      </x:c>
      <x:c r="H27" t="str">
        <x:v>Beginner</x:v>
      </x:c>
      <x:c r="I27" t="n">
        <x:v>5</x:v>
      </x:c>
      <x:c r="J27" t="str">
        <x:v>Phase 1</x:v>
      </x:c>
      <x:c r="K27" t="str">
        <x:v>Not Assigned</x:v>
      </x:c>
      <x:c r="L27" t="str"/>
      <x:c r="M27" t="str">
        <x:f>IF(L27="","",IF(L27=5,"Excellent",IF(L27&gt;=4,"Competent",IF(L27&gt;=3,"Developing","Requires Rework"))))</x:f>
      </x:c>
      <x:c r="N27" s="30" t="str"/>
    </x:row>
    <x:row r="28">
      <x:c r="A28" t="str">
        <x:v>Q-024</x:v>
      </x:c>
      <x:c r="B28" t="str">
        <x:v>CASE-008</x:v>
      </x:c>
      <x:c r="C28" t="str">
        <x:v>Human Resources</x:v>
      </x:c>
      <x:c r="D28" s="30" t="str">
        <x:v>Payroll Cost Review</x:v>
      </x:c>
      <x:c r="E28" s="30" t="str">
        <x:v>Where are payroll costs increasing fastest?</x:v>
      </x:c>
      <x:c r="F28" s="30" t="str">
        <x:v>Diagnostic</x:v>
      </x:c>
      <x:c r="G28" s="30" t="str">
        <x:v>LAG and growth analysis</x:v>
      </x:c>
      <x:c r="H28" t="str">
        <x:v>Beginner</x:v>
      </x:c>
      <x:c r="I28" t="n">
        <x:v>5</x:v>
      </x:c>
      <x:c r="J28" t="str">
        <x:v>Phase 1</x:v>
      </x:c>
      <x:c r="K28" t="str">
        <x:v>Not Assigned</x:v>
      </x:c>
      <x:c r="L28" t="str"/>
      <x:c r="M28" t="str">
        <x:f>IF(L28="","",IF(L28=5,"Excellent",IF(L28&gt;=4,"Competent",IF(L28&gt;=3,"Developing","Requires Rework"))))</x:f>
      </x:c>
      <x:c r="N28" s="30" t="str"/>
    </x:row>
    <x:row r="29">
      <x:c r="A29" t="str">
        <x:v>Q-025</x:v>
      </x:c>
      <x:c r="B29" t="str">
        <x:v>CASE-009</x:v>
      </x:c>
      <x:c r="C29" t="str">
        <x:v>Inventory</x:v>
      </x:c>
      <x:c r="D29" s="30" t="str">
        <x:v>Stockout Prevention</x:v>
      </x:c>
      <x:c r="E29" s="30" t="str">
        <x:v>Which products are at or below reorder level?</x:v>
      </x:c>
      <x:c r="F29" s="30" t="str">
        <x:v>Descriptive</x:v>
      </x:c>
      <x:c r="G29" s="30" t="str">
        <x:v>Available stock versus reorder</x:v>
      </x:c>
      <x:c r="H29" t="str">
        <x:v>Intermediate</x:v>
      </x:c>
      <x:c r="I29" t="n">
        <x:v>5</x:v>
      </x:c>
      <x:c r="J29" t="str">
        <x:v>Phase 1</x:v>
      </x:c>
      <x:c r="K29" t="str">
        <x:v>Not Assigned</x:v>
      </x:c>
      <x:c r="L29" t="str"/>
      <x:c r="M29" t="str">
        <x:f>IF(L29="","",IF(L29=5,"Excellent",IF(L29&gt;=4,"Competent",IF(L29&gt;=3,"Developing","Requires Rework"))))</x:f>
      </x:c>
      <x:c r="N29" s="30" t="str"/>
    </x:row>
    <x:row r="30">
      <x:c r="A30" t="str">
        <x:v>Q-026</x:v>
      </x:c>
      <x:c r="B30" t="str">
        <x:v>CASE-009</x:v>
      </x:c>
      <x:c r="C30" t="str">
        <x:v>Inventory</x:v>
      </x:c>
      <x:c r="D30" s="30" t="str">
        <x:v>Stockout Prevention</x:v>
      </x:c>
      <x:c r="E30" s="30" t="str">
        <x:v>Which branches have the highest stockout exposure?</x:v>
      </x:c>
      <x:c r="F30" s="30" t="str">
        <x:v>Diagnostic</x:v>
      </x:c>
      <x:c r="G30" s="30" t="str">
        <x:v>Shortage count and value</x:v>
      </x:c>
      <x:c r="H30" t="str">
        <x:v>Intermediate</x:v>
      </x:c>
      <x:c r="I30" t="n">
        <x:v>5</x:v>
      </x:c>
      <x:c r="J30" t="str">
        <x:v>Phase 1</x:v>
      </x:c>
      <x:c r="K30" t="str">
        <x:v>Not Assigned</x:v>
      </x:c>
      <x:c r="L30" t="str"/>
      <x:c r="M30" t="str">
        <x:f>IF(L30="","",IF(L30=5,"Excellent",IF(L30&gt;=4,"Competent",IF(L30&gt;=3,"Developing","Requires Rework"))))</x:f>
      </x:c>
      <x:c r="N30" s="30" t="str"/>
    </x:row>
    <x:row r="31">
      <x:c r="A31" t="str">
        <x:v>Q-027</x:v>
      </x:c>
      <x:c r="B31" t="str">
        <x:v>CASE-009</x:v>
      </x:c>
      <x:c r="C31" t="str">
        <x:v>Inventory</x:v>
      </x:c>
      <x:c r="D31" s="30" t="str">
        <x:v>Stockout Prevention</x:v>
      </x:c>
      <x:c r="E31" s="30" t="str">
        <x:v>What replenishment priorities should be approved?</x:v>
      </x:c>
      <x:c r="F31" s="30" t="str">
        <x:v>Prescriptive</x:v>
      </x:c>
      <x:c r="G31" s="30" t="str">
        <x:v>Priority scoring</x:v>
      </x:c>
      <x:c r="H31" t="str">
        <x:v>Intermediate</x:v>
      </x:c>
      <x:c r="I31" t="n">
        <x:v>5</x:v>
      </x:c>
      <x:c r="J31" t="str">
        <x:v>Phase 1</x:v>
      </x:c>
      <x:c r="K31" t="str">
        <x:v>Not Assigned</x:v>
      </x:c>
      <x:c r="L31" t="str"/>
      <x:c r="M31" t="str">
        <x:f>IF(L31="","",IF(L31=5,"Excellent",IF(L31&gt;=4,"Competent",IF(L31&gt;=3,"Developing","Requires Rework"))))</x:f>
      </x:c>
      <x:c r="N31" s="30" t="str"/>
    </x:row>
    <x:row r="32">
      <x:c r="A32" t="str">
        <x:v>Q-028</x:v>
      </x:c>
      <x:c r="B32" t="str">
        <x:v>CASE-010</x:v>
      </x:c>
      <x:c r="C32" t="str">
        <x:v>Inventory</x:v>
      </x:c>
      <x:c r="D32" s="30" t="str">
        <x:v>Stock Variance Investigation</x:v>
      </x:c>
      <x:c r="E32" s="30" t="str">
        <x:v>What is the total quantity and value of stock variance?</x:v>
      </x:c>
      <x:c r="F32" s="30" t="str">
        <x:v>Descriptive</x:v>
      </x:c>
      <x:c r="G32" s="30" t="str">
        <x:v>Physical count variance</x:v>
      </x:c>
      <x:c r="H32" t="str">
        <x:v>Intermediate</x:v>
      </x:c>
      <x:c r="I32" t="n">
        <x:v>5</x:v>
      </x:c>
      <x:c r="J32" t="str">
        <x:v>Phase 1 + Phase 2</x:v>
      </x:c>
      <x:c r="K32" t="str">
        <x:v>Not Assigned</x:v>
      </x:c>
      <x:c r="L32" t="str"/>
      <x:c r="M32" t="str">
        <x:f>IF(L32="","",IF(L32=5,"Excellent",IF(L32&gt;=4,"Competent",IF(L32&gt;=3,"Developing","Requires Rework"))))</x:f>
      </x:c>
      <x:c r="N32" s="30" t="str"/>
    </x:row>
    <x:row r="33">
      <x:c r="A33" t="str">
        <x:v>Q-029</x:v>
      </x:c>
      <x:c r="B33" t="str">
        <x:v>CASE-010</x:v>
      </x:c>
      <x:c r="C33" t="str">
        <x:v>Inventory</x:v>
      </x:c>
      <x:c r="D33" s="30" t="str">
        <x:v>Stock Variance Investigation</x:v>
      </x:c>
      <x:c r="E33" s="30" t="str">
        <x:v>Which products and warehouses account for most variance?</x:v>
      </x:c>
      <x:c r="F33" s="30" t="str">
        <x:v>Diagnostic</x:v>
      </x:c>
      <x:c r="G33" s="30" t="str">
        <x:v>Pareto analysis</x:v>
      </x:c>
      <x:c r="H33" t="str">
        <x:v>Intermediate</x:v>
      </x:c>
      <x:c r="I33" t="n">
        <x:v>5</x:v>
      </x:c>
      <x:c r="J33" t="str">
        <x:v>Phase 1 + Phase 2</x:v>
      </x:c>
      <x:c r="K33" t="str">
        <x:v>Not Assigned</x:v>
      </x:c>
      <x:c r="L33" t="str"/>
      <x:c r="M33" t="str">
        <x:f>IF(L33="","",IF(L33=5,"Excellent",IF(L33&gt;=4,"Competent",IF(L33&gt;=3,"Developing","Requires Rework"))))</x:f>
      </x:c>
      <x:c r="N33" s="30" t="str"/>
    </x:row>
    <x:row r="34">
      <x:c r="A34" t="str">
        <x:v>Q-030</x:v>
      </x:c>
      <x:c r="B34" t="str">
        <x:v>CASE-010</x:v>
      </x:c>
      <x:c r="C34" t="str">
        <x:v>Inventory</x:v>
      </x:c>
      <x:c r="D34" s="30" t="str">
        <x:v>Stock Variance Investigation</x:v>
      </x:c>
      <x:c r="E34" s="30" t="str">
        <x:v>Which control weaknesses should be investigated?</x:v>
      </x:c>
      <x:c r="F34" s="30" t="str">
        <x:v>Prescriptive</x:v>
      </x:c>
      <x:c r="G34" s="30" t="str">
        <x:v>Root-cause hypotheses</x:v>
      </x:c>
      <x:c r="H34" t="str">
        <x:v>Intermediate</x:v>
      </x:c>
      <x:c r="I34" t="n">
        <x:v>5</x:v>
      </x:c>
      <x:c r="J34" t="str">
        <x:v>Phase 1 + Phase 2</x:v>
      </x:c>
      <x:c r="K34" t="str">
        <x:v>Not Assigned</x:v>
      </x:c>
      <x:c r="L34" t="str"/>
      <x:c r="M34" t="str">
        <x:f>IF(L34="","",IF(L34=5,"Excellent",IF(L34&gt;=4,"Competent",IF(L34&gt;=3,"Developing","Requires Rework"))))</x:f>
      </x:c>
      <x:c r="N34" s="30" t="str"/>
    </x:row>
    <x:row r="35">
      <x:c r="A35" t="str">
        <x:v>Q-031</x:v>
      </x:c>
      <x:c r="B35" t="str">
        <x:v>CASE-011</x:v>
      </x:c>
      <x:c r="C35" t="str">
        <x:v>Procurement</x:v>
      </x:c>
      <x:c r="D35" s="30" t="str">
        <x:v>Supplier Performance Review</x:v>
      </x:c>
      <x:c r="E35" s="30" t="str">
        <x:v>Which suppliers have the best overall performance scores?</x:v>
      </x:c>
      <x:c r="F35" s="30" t="str">
        <x:v>Descriptive</x:v>
      </x:c>
      <x:c r="G35" s="30" t="str">
        <x:v>Supplier scorecard</x:v>
      </x:c>
      <x:c r="H35" t="str">
        <x:v>Intermediate</x:v>
      </x:c>
      <x:c r="I35" t="n">
        <x:v>5</x:v>
      </x:c>
      <x:c r="J35" t="str">
        <x:v>Phase 1 + Phase 2</x:v>
      </x:c>
      <x:c r="K35" t="str">
        <x:v>Not Assigned</x:v>
      </x:c>
      <x:c r="L35" t="str"/>
      <x:c r="M35" t="str">
        <x:f>IF(L35="","",IF(L35=5,"Excellent",IF(L35&gt;=4,"Competent",IF(L35&gt;=3,"Developing","Requires Rework"))))</x:f>
      </x:c>
      <x:c r="N35" s="30" t="str"/>
    </x:row>
    <x:row r="36">
      <x:c r="A36" t="str">
        <x:v>Q-032</x:v>
      </x:c>
      <x:c r="B36" t="str">
        <x:v>CASE-011</x:v>
      </x:c>
      <x:c r="C36" t="str">
        <x:v>Procurement</x:v>
      </x:c>
      <x:c r="D36" s="30" t="str">
        <x:v>Supplier Performance Review</x:v>
      </x:c>
      <x:c r="E36" s="30" t="str">
        <x:v>Which suppliers deliver late or incomplete orders most often?</x:v>
      </x:c>
      <x:c r="F36" s="30" t="str">
        <x:v>Diagnostic</x:v>
      </x:c>
      <x:c r="G36" s="30" t="str">
        <x:v>Receipt and PO comparison</x:v>
      </x:c>
      <x:c r="H36" t="str">
        <x:v>Intermediate</x:v>
      </x:c>
      <x:c r="I36" t="n">
        <x:v>5</x:v>
      </x:c>
      <x:c r="J36" t="str">
        <x:v>Phase 1 + Phase 2</x:v>
      </x:c>
      <x:c r="K36" t="str">
        <x:v>Not Assigned</x:v>
      </x:c>
      <x:c r="L36" t="str"/>
      <x:c r="M36" t="str">
        <x:f>IF(L36="","",IF(L36=5,"Excellent",IF(L36&gt;=4,"Competent",IF(L36&gt;=3,"Developing","Requires Rework"))))</x:f>
      </x:c>
      <x:c r="N36" s="30" t="str"/>
    </x:row>
    <x:row r="37">
      <x:c r="A37" t="str">
        <x:v>Q-033</x:v>
      </x:c>
      <x:c r="B37" t="str">
        <x:v>CASE-011</x:v>
      </x:c>
      <x:c r="C37" t="str">
        <x:v>Procurement</x:v>
      </x:c>
      <x:c r="D37" s="30" t="str">
        <x:v>Supplier Performance Review</x:v>
      </x:c>
      <x:c r="E37" s="30" t="str">
        <x:v>Which suppliers should be retained, improved, or suspended?</x:v>
      </x:c>
      <x:c r="F37" s="30" t="str">
        <x:v>Prescriptive</x:v>
      </x:c>
      <x:c r="G37" s="30" t="str">
        <x:v>Supplier classification</x:v>
      </x:c>
      <x:c r="H37" t="str">
        <x:v>Intermediate</x:v>
      </x:c>
      <x:c r="I37" t="n">
        <x:v>5</x:v>
      </x:c>
      <x:c r="J37" t="str">
        <x:v>Phase 1 + Phase 2</x:v>
      </x:c>
      <x:c r="K37" t="str">
        <x:v>Not Assigned</x:v>
      </x:c>
      <x:c r="L37" t="str"/>
      <x:c r="M37" t="str">
        <x:f>IF(L37="","",IF(L37=5,"Excellent",IF(L37&gt;=4,"Competent",IF(L37&gt;=3,"Developing","Requires Rework"))))</x:f>
      </x:c>
      <x:c r="N37" s="30" t="str"/>
    </x:row>
    <x:row r="38">
      <x:c r="A38" t="str">
        <x:v>Q-034</x:v>
      </x:c>
      <x:c r="B38" t="str">
        <x:v>CASE-012</x:v>
      </x:c>
      <x:c r="C38" t="str">
        <x:v>Procurement</x:v>
      </x:c>
      <x:c r="D38" s="30" t="str">
        <x:v>Purchase Cost Analysis</x:v>
      </x:c>
      <x:c r="E38" s="30" t="str">
        <x:v>What is total purchase spend by supplier and product?</x:v>
      </x:c>
      <x:c r="F38" s="30" t="str">
        <x:v>Descriptive</x:v>
      </x:c>
      <x:c r="G38" s="30" t="str">
        <x:v>Purchase aggregation</x:v>
      </x:c>
      <x:c r="H38" t="str">
        <x:v>Intermediate</x:v>
      </x:c>
      <x:c r="I38" t="n">
        <x:v>5</x:v>
      </x:c>
      <x:c r="J38" t="str">
        <x:v>Phase 1</x:v>
      </x:c>
      <x:c r="K38" t="str">
        <x:v>Not Assigned</x:v>
      </x:c>
      <x:c r="L38" t="str"/>
      <x:c r="M38" t="str">
        <x:f>IF(L38="","",IF(L38=5,"Excellent",IF(L38&gt;=4,"Competent",IF(L38&gt;=3,"Developing","Requires Rework"))))</x:f>
      </x:c>
      <x:c r="N38" s="30" t="str"/>
    </x:row>
    <x:row r="39">
      <x:c r="A39" t="str">
        <x:v>Q-035</x:v>
      </x:c>
      <x:c r="B39" t="str">
        <x:v>CASE-012</x:v>
      </x:c>
      <x:c r="C39" t="str">
        <x:v>Procurement</x:v>
      </x:c>
      <x:c r="D39" s="30" t="str">
        <x:v>Purchase Cost Analysis</x:v>
      </x:c>
      <x:c r="E39" s="30" t="str">
        <x:v>Which products show significant cost increases?</x:v>
      </x:c>
      <x:c r="F39" s="30" t="str">
        <x:v>Diagnostic</x:v>
      </x:c>
      <x:c r="G39" s="30" t="str">
        <x:v>LAG price comparison</x:v>
      </x:c>
      <x:c r="H39" t="str">
        <x:v>Intermediate</x:v>
      </x:c>
      <x:c r="I39" t="n">
        <x:v>5</x:v>
      </x:c>
      <x:c r="J39" t="str">
        <x:v>Phase 1</x:v>
      </x:c>
      <x:c r="K39" t="str">
        <x:v>Not Assigned</x:v>
      </x:c>
      <x:c r="L39" t="str"/>
      <x:c r="M39" t="str">
        <x:f>IF(L39="","",IF(L39=5,"Excellent",IF(L39&gt;=4,"Competent",IF(L39&gt;=3,"Developing","Requires Rework"))))</x:f>
      </x:c>
      <x:c r="N39" s="30" t="str"/>
    </x:row>
    <x:row r="40">
      <x:c r="A40" t="str">
        <x:v>Q-036</x:v>
      </x:c>
      <x:c r="B40" t="str">
        <x:v>CASE-012</x:v>
      </x:c>
      <x:c r="C40" t="str">
        <x:v>Procurement</x:v>
      </x:c>
      <x:c r="D40" s="30" t="str">
        <x:v>Purchase Cost Analysis</x:v>
      </x:c>
      <x:c r="E40" s="30" t="str">
        <x:v>Where can procurement negotiate savings?</x:v>
      </x:c>
      <x:c r="F40" s="30" t="str">
        <x:v>Prescriptive</x:v>
      </x:c>
      <x:c r="G40" s="30" t="str">
        <x:v>Spend and price opportunity</x:v>
      </x:c>
      <x:c r="H40" t="str">
        <x:v>Intermediate</x:v>
      </x:c>
      <x:c r="I40" t="n">
        <x:v>5</x:v>
      </x:c>
      <x:c r="J40" t="str">
        <x:v>Phase 1</x:v>
      </x:c>
      <x:c r="K40" t="str">
        <x:v>Not Assigned</x:v>
      </x:c>
      <x:c r="L40" t="str"/>
      <x:c r="M40" t="str">
        <x:f>IF(L40="","",IF(L40=5,"Excellent",IF(L40&gt;=4,"Competent",IF(L40&gt;=3,"Developing","Requires Rework"))))</x:f>
      </x:c>
      <x:c r="N40" s="30" t="str"/>
    </x:row>
    <x:row r="41">
      <x:c r="A41" t="str">
        <x:v>Q-037</x:v>
      </x:c>
      <x:c r="B41" t="str">
        <x:v>CASE-013</x:v>
      </x:c>
      <x:c r="C41" t="str">
        <x:v>Logistics</x:v>
      </x:c>
      <x:c r="D41" s="30" t="str">
        <x:v>Delivery Delay Analysis</x:v>
      </x:c>
      <x:c r="E41" s="30" t="str">
        <x:v>What is the on-time delivery rate by branch and region?</x:v>
      </x:c>
      <x:c r="F41" s="30" t="str">
        <x:v>Descriptive</x:v>
      </x:c>
      <x:c r="G41" s="30" t="str">
        <x:v>Expected versus actual date</x:v>
      </x:c>
      <x:c r="H41" t="str">
        <x:v>Intermediate</x:v>
      </x:c>
      <x:c r="I41" t="n">
        <x:v>5</x:v>
      </x:c>
      <x:c r="J41" t="str">
        <x:v>Phase 1 + Phase 2</x:v>
      </x:c>
      <x:c r="K41" t="str">
        <x:v>Not Assigned</x:v>
      </x:c>
      <x:c r="L41" t="str"/>
      <x:c r="M41" t="str">
        <x:f>IF(L41="","",IF(L41=5,"Excellent",IF(L41&gt;=4,"Competent",IF(L41&gt;=3,"Developing","Requires Rework"))))</x:f>
      </x:c>
      <x:c r="N41" s="30" t="str"/>
    </x:row>
    <x:row r="42">
      <x:c r="A42" t="str">
        <x:v>Q-038</x:v>
      </x:c>
      <x:c r="B42" t="str">
        <x:v>CASE-013</x:v>
      </x:c>
      <x:c r="C42" t="str">
        <x:v>Logistics</x:v>
      </x:c>
      <x:c r="D42" s="30" t="str">
        <x:v>Delivery Delay Analysis</x:v>
      </x:c>
      <x:c r="E42" s="30" t="str">
        <x:v>Which routes, vehicles, or drivers experience repeated delays?</x:v>
      </x:c>
      <x:c r="F42" s="30" t="str">
        <x:v>Diagnostic</x:v>
      </x:c>
      <x:c r="G42" s="30" t="str">
        <x:v>Delay concentration</x:v>
      </x:c>
      <x:c r="H42" t="str">
        <x:v>Intermediate</x:v>
      </x:c>
      <x:c r="I42" t="n">
        <x:v>5</x:v>
      </x:c>
      <x:c r="J42" t="str">
        <x:v>Phase 1 + Phase 2</x:v>
      </x:c>
      <x:c r="K42" t="str">
        <x:v>Not Assigned</x:v>
      </x:c>
      <x:c r="L42" t="str"/>
      <x:c r="M42" t="str">
        <x:f>IF(L42="","",IF(L42=5,"Excellent",IF(L42&gt;=4,"Competent",IF(L42&gt;=3,"Developing","Requires Rework"))))</x:f>
      </x:c>
      <x:c r="N42" s="30" t="str"/>
    </x:row>
    <x:row r="43">
      <x:c r="A43" t="str">
        <x:v>Q-039</x:v>
      </x:c>
      <x:c r="B43" t="str">
        <x:v>CASE-013</x:v>
      </x:c>
      <x:c r="C43" t="str">
        <x:v>Logistics</x:v>
      </x:c>
      <x:c r="D43" s="30" t="str">
        <x:v>Delivery Delay Analysis</x:v>
      </x:c>
      <x:c r="E43" s="30" t="str">
        <x:v>What operational changes should logistics implement?</x:v>
      </x:c>
      <x:c r="F43" s="30" t="str">
        <x:v>Prescriptive</x:v>
      </x:c>
      <x:c r="G43" s="30" t="str">
        <x:v>Failure and delay actions</x:v>
      </x:c>
      <x:c r="H43" t="str">
        <x:v>Intermediate</x:v>
      </x:c>
      <x:c r="I43" t="n">
        <x:v>5</x:v>
      </x:c>
      <x:c r="J43" t="str">
        <x:v>Phase 1 + Phase 2</x:v>
      </x:c>
      <x:c r="K43" t="str">
        <x:v>Not Assigned</x:v>
      </x:c>
      <x:c r="L43" t="str"/>
      <x:c r="M43" t="str">
        <x:f>IF(L43="","",IF(L43=5,"Excellent",IF(L43&gt;=4,"Competent",IF(L43&gt;=3,"Developing","Requires Rework"))))</x:f>
      </x:c>
      <x:c r="N43" s="30" t="str"/>
    </x:row>
    <x:row r="44">
      <x:c r="A44" t="str">
        <x:v>Q-040</x:v>
      </x:c>
      <x:c r="B44" t="str">
        <x:v>CASE-014</x:v>
      </x:c>
      <x:c r="C44" t="str">
        <x:v>Logistics</x:v>
      </x:c>
      <x:c r="D44" s="30" t="str">
        <x:v>Vehicle Maintenance Cost</x:v>
      </x:c>
      <x:c r="E44" s="30" t="str">
        <x:v>What is maintenance cost by vehicle?</x:v>
      </x:c>
      <x:c r="F44" s="30" t="str">
        <x:v>Descriptive</x:v>
      </x:c>
      <x:c r="G44" s="30" t="str">
        <x:v>Fleet cost aggregation</x:v>
      </x:c>
      <x:c r="H44" t="str">
        <x:v>Beginner</x:v>
      </x:c>
      <x:c r="I44" t="n">
        <x:v>5</x:v>
      </x:c>
      <x:c r="J44" t="str">
        <x:v>Phase 1 + Phase 2</x:v>
      </x:c>
      <x:c r="K44" t="str">
        <x:v>Not Assigned</x:v>
      </x:c>
      <x:c r="L44" t="str"/>
      <x:c r="M44" t="str">
        <x:f>IF(L44="","",IF(L44=5,"Excellent",IF(L44&gt;=4,"Competent",IF(L44&gt;=3,"Developing","Requires Rework"))))</x:f>
      </x:c>
      <x:c r="N44" s="30" t="str"/>
    </x:row>
    <x:row r="45">
      <x:c r="A45" t="str">
        <x:v>Q-041</x:v>
      </x:c>
      <x:c r="B45" t="str">
        <x:v>CASE-014</x:v>
      </x:c>
      <x:c r="C45" t="str">
        <x:v>Logistics</x:v>
      </x:c>
      <x:c r="D45" s="30" t="str">
        <x:v>Vehicle Maintenance Cost</x:v>
      </x:c>
      <x:c r="E45" s="30" t="str">
        <x:v>Which vehicles have high cost or repeated maintenance?</x:v>
      </x:c>
      <x:c r="F45" s="30" t="str">
        <x:v>Diagnostic</x:v>
      </x:c>
      <x:c r="G45" s="30" t="str">
        <x:v>Benchmark comparison</x:v>
      </x:c>
      <x:c r="H45" t="str">
        <x:v>Beginner</x:v>
      </x:c>
      <x:c r="I45" t="n">
        <x:v>5</x:v>
      </x:c>
      <x:c r="J45" t="str">
        <x:v>Phase 1 + Phase 2</x:v>
      </x:c>
      <x:c r="K45" t="str">
        <x:v>Not Assigned</x:v>
      </x:c>
      <x:c r="L45" t="str"/>
      <x:c r="M45" t="str">
        <x:f>IF(L45="","",IF(L45=5,"Excellent",IF(L45&gt;=4,"Competent",IF(L45&gt;=3,"Developing","Requires Rework"))))</x:f>
      </x:c>
      <x:c r="N45" s="30" t="str"/>
    </x:row>
    <x:row r="46">
      <x:c r="A46" t="str">
        <x:v>Q-042</x:v>
      </x:c>
      <x:c r="B46" t="str">
        <x:v>CASE-014</x:v>
      </x:c>
      <x:c r="C46" t="str">
        <x:v>Logistics</x:v>
      </x:c>
      <x:c r="D46" s="30" t="str">
        <x:v>Vehicle Maintenance Cost</x:v>
      </x:c>
      <x:c r="E46" s="30" t="str">
        <x:v>Which vehicles should be serviced, replaced, or monitored?</x:v>
      </x:c>
      <x:c r="F46" s="30" t="str">
        <x:v>Prescriptive</x:v>
      </x:c>
      <x:c r="G46" s="30" t="str">
        <x:v>Fleet classification</x:v>
      </x:c>
      <x:c r="H46" t="str">
        <x:v>Beginner</x:v>
      </x:c>
      <x:c r="I46" t="n">
        <x:v>5</x:v>
      </x:c>
      <x:c r="J46" t="str">
        <x:v>Phase 1 + Phase 2</x:v>
      </x:c>
      <x:c r="K46" t="str">
        <x:v>Not Assigned</x:v>
      </x:c>
      <x:c r="L46" t="str"/>
      <x:c r="M46" t="str">
        <x:f>IF(L46="","",IF(L46=5,"Excellent",IF(L46&gt;=4,"Competent",IF(L46&gt;=3,"Developing","Requires Rework"))))</x:f>
      </x:c>
      <x:c r="N46" s="30" t="str"/>
    </x:row>
    <x:row r="47">
      <x:c r="A47" t="str">
        <x:v>Q-043</x:v>
      </x:c>
      <x:c r="B47" t="str">
        <x:v>CASE-015</x:v>
      </x:c>
      <x:c r="C47" t="str">
        <x:v>Marketing</x:v>
      </x:c>
      <x:c r="D47" s="30" t="str">
        <x:v>Campaign Return Analysis</x:v>
      </x:c>
      <x:c r="E47" s="30" t="str">
        <x:v>What is campaign cost, leads, conversions, and revenue?</x:v>
      </x:c>
      <x:c r="F47" s="30" t="str">
        <x:v>Descriptive</x:v>
      </x:c>
      <x:c r="G47" s="30" t="str">
        <x:v>Campaign funnel and spend</x:v>
      </x:c>
      <x:c r="H47" t="str">
        <x:v>Intermediate</x:v>
      </x:c>
      <x:c r="I47" t="n">
        <x:v>5</x:v>
      </x:c>
      <x:c r="J47" t="str">
        <x:v>Phase 1 + Phase 2</x:v>
      </x:c>
      <x:c r="K47" t="str">
        <x:v>Not Assigned</x:v>
      </x:c>
      <x:c r="L47" t="str"/>
      <x:c r="M47" t="str">
        <x:f>IF(L47="","",IF(L47=5,"Excellent",IF(L47&gt;=4,"Competent",IF(L47&gt;=3,"Developing","Requires Rework"))))</x:f>
      </x:c>
      <x:c r="N47" s="30" t="str"/>
    </x:row>
    <x:row r="48">
      <x:c r="A48" t="str">
        <x:v>Q-044</x:v>
      </x:c>
      <x:c r="B48" t="str">
        <x:v>CASE-015</x:v>
      </x:c>
      <x:c r="C48" t="str">
        <x:v>Marketing</x:v>
      </x:c>
      <x:c r="D48" s="30" t="str">
        <x:v>Campaign Return Analysis</x:v>
      </x:c>
      <x:c r="E48" s="30" t="str">
        <x:v>Which campaigns have the highest return on investment?</x:v>
      </x:c>
      <x:c r="F48" s="30" t="str">
        <x:v>Diagnostic</x:v>
      </x:c>
      <x:c r="G48" s="30" t="str">
        <x:v>Campaign ROI</x:v>
      </x:c>
      <x:c r="H48" t="str">
        <x:v>Intermediate</x:v>
      </x:c>
      <x:c r="I48" t="n">
        <x:v>5</x:v>
      </x:c>
      <x:c r="J48" t="str">
        <x:v>Phase 1 + Phase 2</x:v>
      </x:c>
      <x:c r="K48" t="str">
        <x:v>Not Assigned</x:v>
      </x:c>
      <x:c r="L48" t="str"/>
      <x:c r="M48" t="str">
        <x:f>IF(L48="","",IF(L48=5,"Excellent",IF(L48&gt;=4,"Competent",IF(L48&gt;=3,"Developing","Requires Rework"))))</x:f>
      </x:c>
      <x:c r="N48" s="30" t="str"/>
    </x:row>
    <x:row r="49">
      <x:c r="A49" t="str">
        <x:v>Q-045</x:v>
      </x:c>
      <x:c r="B49" t="str">
        <x:v>CASE-015</x:v>
      </x:c>
      <x:c r="C49" t="str">
        <x:v>Marketing</x:v>
      </x:c>
      <x:c r="D49" s="30" t="str">
        <x:v>Campaign Return Analysis</x:v>
      </x:c>
      <x:c r="E49" s="30" t="str">
        <x:v>Which channels should receive more budget?</x:v>
      </x:c>
      <x:c r="F49" s="30" t="str">
        <x:v>Prescriptive</x:v>
      </x:c>
      <x:c r="G49" s="30" t="str">
        <x:v>Budget allocation ranking</x:v>
      </x:c>
      <x:c r="H49" t="str">
        <x:v>Intermediate</x:v>
      </x:c>
      <x:c r="I49" t="n">
        <x:v>5</x:v>
      </x:c>
      <x:c r="J49" t="str">
        <x:v>Phase 1 + Phase 2</x:v>
      </x:c>
      <x:c r="K49" t="str">
        <x:v>Not Assigned</x:v>
      </x:c>
      <x:c r="L49" t="str"/>
      <x:c r="M49" t="str">
        <x:f>IF(L49="","",IF(L49=5,"Excellent",IF(L49&gt;=4,"Competent",IF(L49&gt;=3,"Developing","Requires Rework"))))</x:f>
      </x:c>
      <x:c r="N49" s="30" t="str"/>
    </x:row>
    <x:row r="50">
      <x:c r="A50" t="str">
        <x:v>Q-046</x:v>
      </x:c>
      <x:c r="B50" t="str">
        <x:v>CASE-016</x:v>
      </x:c>
      <x:c r="C50" t="str">
        <x:v>Marketing</x:v>
      </x:c>
      <x:c r="D50" s="30" t="str">
        <x:v>Customer Segmentation</x:v>
      </x:c>
      <x:c r="E50" s="30" t="str">
        <x:v>Which customers are high-value, frequent, or at risk?</x:v>
      </x:c>
      <x:c r="F50" s="30" t="str">
        <x:v>Descriptive</x:v>
      </x:c>
      <x:c r="G50" s="30" t="str">
        <x:v>RFM-style segmentation</x:v>
      </x:c>
      <x:c r="H50" t="str">
        <x:v>Intermediate</x:v>
      </x:c>
      <x:c r="I50" t="n">
        <x:v>5</x:v>
      </x:c>
      <x:c r="J50" t="str">
        <x:v>Phase 1 + Phase 2</x:v>
      </x:c>
      <x:c r="K50" t="str">
        <x:v>Not Assigned</x:v>
      </x:c>
      <x:c r="L50" t="str"/>
      <x:c r="M50" t="str">
        <x:f>IF(L50="","",IF(L50=5,"Excellent",IF(L50&gt;=4,"Competent",IF(L50&gt;=3,"Developing","Requires Rework"))))</x:f>
      </x:c>
      <x:c r="N50" s="30" t="str"/>
    </x:row>
    <x:row r="51">
      <x:c r="A51" t="str">
        <x:v>Q-047</x:v>
      </x:c>
      <x:c r="B51" t="str">
        <x:v>CASE-016</x:v>
      </x:c>
      <x:c r="C51" t="str">
        <x:v>Marketing</x:v>
      </x:c>
      <x:c r="D51" s="30" t="str">
        <x:v>Customer Segmentation</x:v>
      </x:c>
      <x:c r="E51" s="30" t="str">
        <x:v>Which segments prefer specific products or channels?</x:v>
      </x:c>
      <x:c r="F51" s="30" t="str">
        <x:v>Diagnostic</x:v>
      </x:c>
      <x:c r="G51" s="30" t="str">
        <x:v>Segment preference analysis</x:v>
      </x:c>
      <x:c r="H51" t="str">
        <x:v>Intermediate</x:v>
      </x:c>
      <x:c r="I51" t="n">
        <x:v>5</x:v>
      </x:c>
      <x:c r="J51" t="str">
        <x:v>Phase 1 + Phase 2</x:v>
      </x:c>
      <x:c r="K51" t="str">
        <x:v>Not Assigned</x:v>
      </x:c>
      <x:c r="L51" t="str"/>
      <x:c r="M51" t="str">
        <x:f>IF(L51="","",IF(L51=5,"Excellent",IF(L51&gt;=4,"Competent",IF(L51&gt;=3,"Developing","Requires Rework"))))</x:f>
      </x:c>
      <x:c r="N51" s="30" t="str"/>
    </x:row>
    <x:row r="52">
      <x:c r="A52" t="str">
        <x:v>Q-048</x:v>
      </x:c>
      <x:c r="B52" t="str">
        <x:v>CASE-016</x:v>
      </x:c>
      <x:c r="C52" t="str">
        <x:v>Marketing</x:v>
      </x:c>
      <x:c r="D52" s="30" t="str">
        <x:v>Customer Segmentation</x:v>
      </x:c>
      <x:c r="E52" s="30" t="str">
        <x:v>What offers should marketing target to each segment?</x:v>
      </x:c>
      <x:c r="F52" s="30" t="str">
        <x:v>Prescriptive</x:v>
      </x:c>
      <x:c r="G52" s="30" t="str">
        <x:v>Segment recommendation rules</x:v>
      </x:c>
      <x:c r="H52" t="str">
        <x:v>Intermediate</x:v>
      </x:c>
      <x:c r="I52" t="n">
        <x:v>5</x:v>
      </x:c>
      <x:c r="J52" t="str">
        <x:v>Phase 1 + Phase 2</x:v>
      </x:c>
      <x:c r="K52" t="str">
        <x:v>Not Assigned</x:v>
      </x:c>
      <x:c r="L52" t="str"/>
      <x:c r="M52" t="str">
        <x:f>IF(L52="","",IF(L52=5,"Excellent",IF(L52&gt;=4,"Competent",IF(L52&gt;=3,"Developing","Requires Rework"))))</x:f>
      </x:c>
      <x:c r="N52" s="30" t="str"/>
    </x:row>
    <x:row r="53">
      <x:c r="A53" t="str">
        <x:v>Q-049</x:v>
      </x:c>
      <x:c r="B53" t="str">
        <x:v>CASE-017</x:v>
      </x:c>
      <x:c r="C53" t="str">
        <x:v>Customer Service</x:v>
      </x:c>
      <x:c r="D53" s="30" t="str">
        <x:v>Complaint Root-Cause Analysis</x:v>
      </x:c>
      <x:c r="E53" s="30" t="str">
        <x:v>What are the most common complaint categories?</x:v>
      </x:c>
      <x:c r="F53" s="30" t="str">
        <x:v>Descriptive</x:v>
      </x:c>
      <x:c r="G53" s="30" t="str">
        <x:v>Complaint frequency</x:v>
      </x:c>
      <x:c r="H53" t="str">
        <x:v>Beginner</x:v>
      </x:c>
      <x:c r="I53" t="n">
        <x:v>5</x:v>
      </x:c>
      <x:c r="J53" t="str">
        <x:v>Phase 1 + Phase 2</x:v>
      </x:c>
      <x:c r="K53" t="str">
        <x:v>Not Assigned</x:v>
      </x:c>
      <x:c r="L53" t="str"/>
      <x:c r="M53" t="str">
        <x:f>IF(L53="","",IF(L53=5,"Excellent",IF(L53&gt;=4,"Competent",IF(L53&gt;=3,"Developing","Requires Rework"))))</x:f>
      </x:c>
      <x:c r="N53" s="30" t="str"/>
    </x:row>
    <x:row r="54">
      <x:c r="A54" t="str">
        <x:v>Q-050</x:v>
      </x:c>
      <x:c r="B54" t="str">
        <x:v>CASE-017</x:v>
      </x:c>
      <x:c r="C54" t="str">
        <x:v>Customer Service</x:v>
      </x:c>
      <x:c r="D54" s="30" t="str">
        <x:v>Complaint Root-Cause Analysis</x:v>
      </x:c>
      <x:c r="E54" s="30" t="str">
        <x:v>Which products, branches, or channels generate the most complaints?</x:v>
      </x:c>
      <x:c r="F54" s="30" t="str">
        <x:v>Diagnostic</x:v>
      </x:c>
      <x:c r="G54" s="30" t="str">
        <x:v>Complaint concentration</x:v>
      </x:c>
      <x:c r="H54" t="str">
        <x:v>Beginner</x:v>
      </x:c>
      <x:c r="I54" t="n">
        <x:v>5</x:v>
      </x:c>
      <x:c r="J54" t="str">
        <x:v>Phase 1 + Phase 2</x:v>
      </x:c>
      <x:c r="K54" t="str">
        <x:v>Not Assigned</x:v>
      </x:c>
      <x:c r="L54" t="str"/>
      <x:c r="M54" t="str">
        <x:f>IF(L54="","",IF(L54=5,"Excellent",IF(L54&gt;=4,"Competent",IF(L54&gt;=3,"Developing","Requires Rework"))))</x:f>
      </x:c>
      <x:c r="N54" s="30" t="str"/>
    </x:row>
    <x:row r="55">
      <x:c r="A55" t="str">
        <x:v>Q-051</x:v>
      </x:c>
      <x:c r="B55" t="str">
        <x:v>CASE-017</x:v>
      </x:c>
      <x:c r="C55" t="str">
        <x:v>Customer Service</x:v>
      </x:c>
      <x:c r="D55" s="30" t="str">
        <x:v>Complaint Root-Cause Analysis</x:v>
      </x:c>
      <x:c r="E55" s="30" t="str">
        <x:v>What corrective actions should management prioritize?</x:v>
      </x:c>
      <x:c r="F55" s="30" t="str">
        <x:v>Prescriptive</x:v>
      </x:c>
      <x:c r="G55" s="30" t="str">
        <x:v>Root-cause action rules</x:v>
      </x:c>
      <x:c r="H55" t="str">
        <x:v>Beginner</x:v>
      </x:c>
      <x:c r="I55" t="n">
        <x:v>5</x:v>
      </x:c>
      <x:c r="J55" t="str">
        <x:v>Phase 1 + Phase 2</x:v>
      </x:c>
      <x:c r="K55" t="str">
        <x:v>Not Assigned</x:v>
      </x:c>
      <x:c r="L55" t="str"/>
      <x:c r="M55" t="str">
        <x:f>IF(L55="","",IF(L55=5,"Excellent",IF(L55&gt;=4,"Competent",IF(L55&gt;=3,"Developing","Requires Rework"))))</x:f>
      </x:c>
      <x:c r="N55" s="30" t="str"/>
    </x:row>
    <x:row r="56">
      <x:c r="A56" t="str">
        <x:v>Q-052</x:v>
      </x:c>
      <x:c r="B56" t="str">
        <x:v>CASE-018</x:v>
      </x:c>
      <x:c r="C56" t="str">
        <x:v>Customer Service</x:v>
      </x:c>
      <x:c r="D56" s="30" t="str">
        <x:v>Service Quality Review</x:v>
      </x:c>
      <x:c r="E56" s="30" t="str">
        <x:v>What is average resolution time and satisfaction by branch?</x:v>
      </x:c>
      <x:c r="F56" s="30" t="str">
        <x:v>Descriptive</x:v>
      </x:c>
      <x:c r="G56" s="30" t="str">
        <x:v>Resolution and satisfaction</x:v>
      </x:c>
      <x:c r="H56" t="str">
        <x:v>Intermediate</x:v>
      </x:c>
      <x:c r="I56" t="n">
        <x:v>5</x:v>
      </x:c>
      <x:c r="J56" t="str">
        <x:v>Phase 1 + Phase 2</x:v>
      </x:c>
      <x:c r="K56" t="str">
        <x:v>Not Assigned</x:v>
      </x:c>
      <x:c r="L56" t="str"/>
      <x:c r="M56" t="str">
        <x:f>IF(L56="","",IF(L56=5,"Excellent",IF(L56&gt;=4,"Competent",IF(L56&gt;=3,"Developing","Requires Rework"))))</x:f>
      </x:c>
      <x:c r="N56" s="30" t="str"/>
    </x:row>
    <x:row r="57">
      <x:c r="A57" t="str">
        <x:v>Q-053</x:v>
      </x:c>
      <x:c r="B57" t="str">
        <x:v>CASE-018</x:v>
      </x:c>
      <x:c r="C57" t="str">
        <x:v>Customer Service</x:v>
      </x:c>
      <x:c r="D57" s="30" t="str">
        <x:v>Service Quality Review</x:v>
      </x:c>
      <x:c r="E57" s="30" t="str">
        <x:v>Which employees handle complaints most effectively?</x:v>
      </x:c>
      <x:c r="F57" s="30" t="str">
        <x:v>Diagnostic</x:v>
      </x:c>
      <x:c r="G57" s="30" t="str">
        <x:v>Employee service comparison</x:v>
      </x:c>
      <x:c r="H57" t="str">
        <x:v>Intermediate</x:v>
      </x:c>
      <x:c r="I57" t="n">
        <x:v>5</x:v>
      </x:c>
      <x:c r="J57" t="str">
        <x:v>Phase 1 + Phase 2</x:v>
      </x:c>
      <x:c r="K57" t="str">
        <x:v>Not Assigned</x:v>
      </x:c>
      <x:c r="L57" t="str"/>
      <x:c r="M57" t="str">
        <x:f>IF(L57="","",IF(L57=5,"Excellent",IF(L57&gt;=4,"Competent",IF(L57&gt;=3,"Developing","Requires Rework"))))</x:f>
      </x:c>
      <x:c r="N57" s="30" t="str"/>
    </x:row>
    <x:row r="58">
      <x:c r="A58" t="str">
        <x:v>Q-054</x:v>
      </x:c>
      <x:c r="B58" t="str">
        <x:v>CASE-018</x:v>
      </x:c>
      <x:c r="C58" t="str">
        <x:v>Customer Service</x:v>
      </x:c>
      <x:c r="D58" s="30" t="str">
        <x:v>Service Quality Review</x:v>
      </x:c>
      <x:c r="E58" s="30" t="str">
        <x:v>What service standards should be improved?</x:v>
      </x:c>
      <x:c r="F58" s="30" t="str">
        <x:v>Prescriptive</x:v>
      </x:c>
      <x:c r="G58" s="30" t="str">
        <x:v>Service standard rules</x:v>
      </x:c>
      <x:c r="H58" t="str">
        <x:v>Intermediate</x:v>
      </x:c>
      <x:c r="I58" t="n">
        <x:v>5</x:v>
      </x:c>
      <x:c r="J58" t="str">
        <x:v>Phase 1 + Phase 2</x:v>
      </x:c>
      <x:c r="K58" t="str">
        <x:v>Not Assigned</x:v>
      </x:c>
      <x:c r="L58" t="str"/>
      <x:c r="M58" t="str">
        <x:f>IF(L58="","",IF(L58=5,"Excellent",IF(L58&gt;=4,"Competent",IF(L58&gt;=3,"Developing","Requires Rework"))))</x:f>
      </x:c>
      <x:c r="N58" s="30" t="str"/>
    </x:row>
    <x:row r="59">
      <x:c r="A59" t="str">
        <x:v>Q-055</x:v>
      </x:c>
      <x:c r="B59" t="str">
        <x:v>CASE-019</x:v>
      </x:c>
      <x:c r="C59" t="str">
        <x:v>Information Technology</x:v>
      </x:c>
      <x:c r="D59" s="30" t="str">
        <x:v>Support Ticket Performance</x:v>
      </x:c>
      <x:c r="E59" s="30" t="str">
        <x:v>How many tickets are open, overdue, or resolved?</x:v>
      </x:c>
      <x:c r="F59" s="30" t="str">
        <x:v>Descriptive</x:v>
      </x:c>
      <x:c r="G59" s="30" t="str">
        <x:v>Ticket status and SLA</x:v>
      </x:c>
      <x:c r="H59" t="str">
        <x:v>Beginner</x:v>
      </x:c>
      <x:c r="I59" t="n">
        <x:v>5</x:v>
      </x:c>
      <x:c r="J59" t="str">
        <x:v>Phase 1 + Phase 2</x:v>
      </x:c>
      <x:c r="K59" t="str">
        <x:v>Not Assigned</x:v>
      </x:c>
      <x:c r="L59" t="str"/>
      <x:c r="M59" t="str">
        <x:f>IF(L59="","",IF(L59=5,"Excellent",IF(L59&gt;=4,"Competent",IF(L59&gt;=3,"Developing","Requires Rework"))))</x:f>
      </x:c>
      <x:c r="N59" s="30" t="str"/>
    </x:row>
    <x:row r="60">
      <x:c r="A60" t="str">
        <x:v>Q-056</x:v>
      </x:c>
      <x:c r="B60" t="str">
        <x:v>CASE-019</x:v>
      </x:c>
      <x:c r="C60" t="str">
        <x:v>Information Technology</x:v>
      </x:c>
      <x:c r="D60" s="30" t="str">
        <x:v>Support Ticket Performance</x:v>
      </x:c>
      <x:c r="E60" s="30" t="str">
        <x:v>Which issue categories and assets cause repeated tickets?</x:v>
      </x:c>
      <x:c r="F60" s="30" t="str">
        <x:v>Diagnostic</x:v>
      </x:c>
      <x:c r="G60" s="30" t="str">
        <x:v>Frequency and reopen analysis</x:v>
      </x:c>
      <x:c r="H60" t="str">
        <x:v>Beginner</x:v>
      </x:c>
      <x:c r="I60" t="n">
        <x:v>5</x:v>
      </x:c>
      <x:c r="J60" t="str">
        <x:v>Phase 1 + Phase 2</x:v>
      </x:c>
      <x:c r="K60" t="str">
        <x:v>Not Assigned</x:v>
      </x:c>
      <x:c r="L60" t="str"/>
      <x:c r="M60" t="str">
        <x:f>IF(L60="","",IF(L60=5,"Excellent",IF(L60&gt;=4,"Competent",IF(L60&gt;=3,"Developing","Requires Rework"))))</x:f>
      </x:c>
      <x:c r="N60" s="30" t="str"/>
    </x:row>
    <x:row r="61">
      <x:c r="A61" t="str">
        <x:v>Q-057</x:v>
      </x:c>
      <x:c r="B61" t="str">
        <x:v>CASE-019</x:v>
      </x:c>
      <x:c r="C61" t="str">
        <x:v>Information Technology</x:v>
      </x:c>
      <x:c r="D61" s="30" t="str">
        <x:v>Support Ticket Performance</x:v>
      </x:c>
      <x:c r="E61" s="30" t="str">
        <x:v>What IT improvements should be prioritized?</x:v>
      </x:c>
      <x:c r="F61" s="30" t="str">
        <x:v>Prescriptive</x:v>
      </x:c>
      <x:c r="G61" s="30" t="str">
        <x:v>IT action rules</x:v>
      </x:c>
      <x:c r="H61" t="str">
        <x:v>Beginner</x:v>
      </x:c>
      <x:c r="I61" t="n">
        <x:v>5</x:v>
      </x:c>
      <x:c r="J61" t="str">
        <x:v>Phase 1 + Phase 2</x:v>
      </x:c>
      <x:c r="K61" t="str">
        <x:v>Not Assigned</x:v>
      </x:c>
      <x:c r="L61" t="str"/>
      <x:c r="M61" t="str">
        <x:f>IF(L61="","",IF(L61=5,"Excellent",IF(L61&gt;=4,"Competent",IF(L61&gt;=3,"Developing","Requires Rework"))))</x:f>
      </x:c>
      <x:c r="N61" s="30" t="str"/>
    </x:row>
    <x:row r="62">
      <x:c r="A62" t="str">
        <x:v>Q-058</x:v>
      </x:c>
      <x:c r="B62" t="str">
        <x:v>CASE-020</x:v>
      </x:c>
      <x:c r="C62" t="str">
        <x:v>Information Security</x:v>
      </x:c>
      <x:c r="D62" s="30" t="str">
        <x:v>Security Incident Trends</x:v>
      </x:c>
      <x:c r="E62" s="30" t="str">
        <x:v>What incidents and alerts occurred by severity and branch?</x:v>
      </x:c>
      <x:c r="F62" s="30" t="str">
        <x:v>Descriptive</x:v>
      </x:c>
      <x:c r="G62" s="30" t="str">
        <x:v>Security event aggregation</x:v>
      </x:c>
      <x:c r="H62" t="str">
        <x:v>Intermediate</x:v>
      </x:c>
      <x:c r="I62" t="n">
        <x:v>5</x:v>
      </x:c>
      <x:c r="J62" t="str">
        <x:v>Phase 1 + Phase 2</x:v>
      </x:c>
      <x:c r="K62" t="str">
        <x:v>Not Assigned</x:v>
      </x:c>
      <x:c r="L62" t="str"/>
      <x:c r="M62" t="str">
        <x:f>IF(L62="","",IF(L62=5,"Excellent",IF(L62&gt;=4,"Competent",IF(L62&gt;=3,"Developing","Requires Rework"))))</x:f>
      </x:c>
      <x:c r="N62" s="30" t="str"/>
    </x:row>
    <x:row r="63">
      <x:c r="A63" t="str">
        <x:v>Q-059</x:v>
      </x:c>
      <x:c r="B63" t="str">
        <x:v>CASE-020</x:v>
      </x:c>
      <x:c r="C63" t="str">
        <x:v>Information Security</x:v>
      </x:c>
      <x:c r="D63" s="30" t="str">
        <x:v>Security Incident Trends</x:v>
      </x:c>
      <x:c r="E63" s="30" t="str">
        <x:v>Which assets, users, and incident types create the greatest risk?</x:v>
      </x:c>
      <x:c r="F63" s="30" t="str">
        <x:v>Diagnostic</x:v>
      </x:c>
      <x:c r="G63" s="30" t="str">
        <x:v>Security concentration analysis</x:v>
      </x:c>
      <x:c r="H63" t="str">
        <x:v>Intermediate</x:v>
      </x:c>
      <x:c r="I63" t="n">
        <x:v>5</x:v>
      </x:c>
      <x:c r="J63" t="str">
        <x:v>Phase 1 + Phase 2</x:v>
      </x:c>
      <x:c r="K63" t="str">
        <x:v>Not Assigned</x:v>
      </x:c>
      <x:c r="L63" t="str"/>
      <x:c r="M63" t="str">
        <x:f>IF(L63="","",IF(L63=5,"Excellent",IF(L63&gt;=4,"Competent",IF(L63&gt;=3,"Developing","Requires Rework"))))</x:f>
      </x:c>
      <x:c r="N63" s="30" t="str"/>
    </x:row>
    <x:row r="64">
      <x:c r="A64" t="str">
        <x:v>Q-060</x:v>
      </x:c>
      <x:c r="B64" t="str">
        <x:v>CASE-020</x:v>
      </x:c>
      <x:c r="C64" t="str">
        <x:v>Information Security</x:v>
      </x:c>
      <x:c r="D64" s="30" t="str">
        <x:v>Security Incident Trends</x:v>
      </x:c>
      <x:c r="E64" s="30" t="str">
        <x:v>Which security controls require immediate improvement?</x:v>
      </x:c>
      <x:c r="F64" s="30" t="str">
        <x:v>Prescriptive</x:v>
      </x:c>
      <x:c r="G64" s="30" t="str">
        <x:v>Control effectiveness and incident link</x:v>
      </x:c>
      <x:c r="H64" t="str">
        <x:v>Intermediate</x:v>
      </x:c>
      <x:c r="I64" t="n">
        <x:v>5</x:v>
      </x:c>
      <x:c r="J64" t="str">
        <x:v>Phase 1 + Phase 2</x:v>
      </x:c>
      <x:c r="K64" t="str">
        <x:v>Not Assigned</x:v>
      </x:c>
      <x:c r="L64" t="str"/>
      <x:c r="M64" t="str">
        <x:f>IF(L64="","",IF(L64=5,"Excellent",IF(L64&gt;=4,"Competent",IF(L64&gt;=3,"Developing","Requires Rework"))))</x:f>
      </x:c>
      <x:c r="N64" s="30" t="str"/>
    </x:row>
    <x:row r="65">
      <x:c r="A65" t="str">
        <x:v>Q-061</x:v>
      </x:c>
      <x:c r="B65" t="str">
        <x:v>CASE-021</x:v>
      </x:c>
      <x:c r="C65" t="str">
        <x:v>Risk and Audit</x:v>
      </x:c>
      <x:c r="D65" s="30" t="str">
        <x:v>Audit Finding Closure</x:v>
      </x:c>
      <x:c r="E65" s="30" t="str">
        <x:v>How many audit findings are open, overdue, or closed?</x:v>
      </x:c>
      <x:c r="F65" s="30" t="str">
        <x:v>Descriptive</x:v>
      </x:c>
      <x:c r="G65" s="30" t="str">
        <x:v>Finding status and due dates</x:v>
      </x:c>
      <x:c r="H65" t="str">
        <x:v>Intermediate</x:v>
      </x:c>
      <x:c r="I65" t="n">
        <x:v>5</x:v>
      </x:c>
      <x:c r="J65" t="str">
        <x:v>Phase 1 + Phase 2</x:v>
      </x:c>
      <x:c r="K65" t="str">
        <x:v>Not Assigned</x:v>
      </x:c>
      <x:c r="L65" t="str"/>
      <x:c r="M65" t="str">
        <x:f>IF(L65="","",IF(L65=5,"Excellent",IF(L65&gt;=4,"Competent",IF(L65&gt;=3,"Developing","Requires Rework"))))</x:f>
      </x:c>
      <x:c r="N65" s="30" t="str"/>
    </x:row>
    <x:row r="66">
      <x:c r="A66" t="str">
        <x:v>Q-062</x:v>
      </x:c>
      <x:c r="B66" t="str">
        <x:v>CASE-021</x:v>
      </x:c>
      <x:c r="C66" t="str">
        <x:v>Risk and Audit</x:v>
      </x:c>
      <x:c r="D66" s="30" t="str">
        <x:v>Audit Finding Closure</x:v>
      </x:c>
      <x:c r="E66" s="30" t="str">
        <x:v>Which departments have repeat or high-risk findings?</x:v>
      </x:c>
      <x:c r="F66" s="30" t="str">
        <x:v>Diagnostic</x:v>
      </x:c>
      <x:c r="G66" s="30" t="str">
        <x:v>Department finding concentration</x:v>
      </x:c>
      <x:c r="H66" t="str">
        <x:v>Intermediate</x:v>
      </x:c>
      <x:c r="I66" t="n">
        <x:v>5</x:v>
      </x:c>
      <x:c r="J66" t="str">
        <x:v>Phase 1 + Phase 2</x:v>
      </x:c>
      <x:c r="K66" t="str">
        <x:v>Not Assigned</x:v>
      </x:c>
      <x:c r="L66" t="str"/>
      <x:c r="M66" t="str">
        <x:f>IF(L66="","",IF(L66=5,"Excellent",IF(L66&gt;=4,"Competent",IF(L66&gt;=3,"Developing","Requires Rework"))))</x:f>
      </x:c>
      <x:c r="N66" s="30" t="str"/>
    </x:row>
    <x:row r="67">
      <x:c r="A67" t="str">
        <x:v>Q-063</x:v>
      </x:c>
      <x:c r="B67" t="str">
        <x:v>CASE-021</x:v>
      </x:c>
      <x:c r="C67" t="str">
        <x:v>Risk and Audit</x:v>
      </x:c>
      <x:c r="D67" s="30" t="str">
        <x:v>Audit Finding Closure</x:v>
      </x:c>
      <x:c r="E67" s="30" t="str">
        <x:v>Which corrective actions require escalation?</x:v>
      </x:c>
      <x:c r="F67" s="30" t="str">
        <x:v>Prescriptive</x:v>
      </x:c>
      <x:c r="G67" s="30" t="str">
        <x:v>Escalation register</x:v>
      </x:c>
      <x:c r="H67" t="str">
        <x:v>Intermediate</x:v>
      </x:c>
      <x:c r="I67" t="n">
        <x:v>5</x:v>
      </x:c>
      <x:c r="J67" t="str">
        <x:v>Phase 1 + Phase 2</x:v>
      </x:c>
      <x:c r="K67" t="str">
        <x:v>Not Assigned</x:v>
      </x:c>
      <x:c r="L67" t="str"/>
      <x:c r="M67" t="str">
        <x:f>IF(L67="","",IF(L67=5,"Excellent",IF(L67&gt;=4,"Competent",IF(L67&gt;=3,"Developing","Requires Rework"))))</x:f>
      </x:c>
      <x:c r="N67" s="30" t="str"/>
    </x:row>
    <x:row r="68">
      <x:c r="A68" t="str">
        <x:v>Q-064</x:v>
      </x:c>
      <x:c r="B68" t="str">
        <x:v>CASE-022</x:v>
      </x:c>
      <x:c r="C68" t="str">
        <x:v>Business Intelligence</x:v>
      </x:c>
      <x:c r="D68" s="30" t="str">
        <x:v>Enterprise KPI Quality Review</x:v>
      </x:c>
      <x:c r="E68" s="30" t="str">
        <x:v>Which KPIs fail reconciliation to source data?</x:v>
      </x:c>
      <x:c r="F68" s="30" t="str">
        <x:v>Diagnostic</x:v>
      </x:c>
      <x:c r="G68" s="30" t="str">
        <x:v>Validation variance</x:v>
      </x:c>
      <x:c r="H68" t="str">
        <x:v>Advanced</x:v>
      </x:c>
      <x:c r="I68" t="n">
        <x:v>5</x:v>
      </x:c>
      <x:c r="J68" t="str">
        <x:v>Phase 1 + Phase 2</x:v>
      </x:c>
      <x:c r="K68" t="str">
        <x:v>Not Assigned</x:v>
      </x:c>
      <x:c r="L68" t="str"/>
      <x:c r="M68" t="str">
        <x:f>IF(L68="","",IF(L68=5,"Excellent",IF(L68&gt;=4,"Competent",IF(L68&gt;=3,"Developing","Requires Rework"))))</x:f>
      </x:c>
      <x:c r="N68" s="30" t="str"/>
    </x:row>
    <x:row r="69">
      <x:c r="A69" t="str">
        <x:v>Q-065</x:v>
      </x:c>
      <x:c r="B69" t="str">
        <x:v>CASE-022</x:v>
      </x:c>
      <x:c r="C69" t="str">
        <x:v>Business Intelligence</x:v>
      </x:c>
      <x:c r="D69" s="30" t="str">
        <x:v>Enterprise KPI Quality Review</x:v>
      </x:c>
      <x:c r="E69" s="30" t="str">
        <x:v>Which KPI definitions are incomplete or inconsistent?</x:v>
      </x:c>
      <x:c r="F69" s="30" t="str">
        <x:v>Diagnostic</x:v>
      </x:c>
      <x:c r="G69" s="30" t="str">
        <x:v>Metadata quality tests</x:v>
      </x:c>
      <x:c r="H69" t="str">
        <x:v>Advanced</x:v>
      </x:c>
      <x:c r="I69" t="n">
        <x:v>5</x:v>
      </x:c>
      <x:c r="J69" t="str">
        <x:v>Phase 1 + Phase 2</x:v>
      </x:c>
      <x:c r="K69" t="str">
        <x:v>Not Assigned</x:v>
      </x:c>
      <x:c r="L69" t="str"/>
      <x:c r="M69" t="str">
        <x:f>IF(L69="","",IF(L69=5,"Excellent",IF(L69&gt;=4,"Competent",IF(L69&gt;=3,"Developing","Requires Rework"))))</x:f>
      </x:c>
      <x:c r="N69" s="30" t="str"/>
    </x:row>
    <x:row r="70">
      <x:c r="A70" t="str">
        <x:v>Q-066</x:v>
      </x:c>
      <x:c r="B70" t="str">
        <x:v>CASE-022</x:v>
      </x:c>
      <x:c r="C70" t="str">
        <x:v>Business Intelligence</x:v>
      </x:c>
      <x:c r="D70" s="30" t="str">
        <x:v>Enterprise KPI Quality Review</x:v>
      </x:c>
      <x:c r="E70" s="30" t="str">
        <x:v>What controls should govern enterprise KPI reporting?</x:v>
      </x:c>
      <x:c r="F70" s="30" t="str">
        <x:v>Prescriptive</x:v>
      </x:c>
      <x:c r="G70" s="30" t="str">
        <x:v>Governance control checklist</x:v>
      </x:c>
      <x:c r="H70" t="str">
        <x:v>Advanced</x:v>
      </x:c>
      <x:c r="I70" t="n">
        <x:v>5</x:v>
      </x:c>
      <x:c r="J70" t="str">
        <x:v>Phase 1 + Phase 2</x:v>
      </x:c>
      <x:c r="K70" t="str">
        <x:v>Not Assigned</x:v>
      </x:c>
      <x:c r="L70" t="str"/>
      <x:c r="M70" t="str">
        <x:f>IF(L70="","",IF(L70=5,"Excellent",IF(L70&gt;=4,"Competent",IF(L70&gt;=3,"Developing","Requires Rework"))))</x:f>
      </x:c>
      <x:c r="N70" s="30" t="str"/>
    </x:row>
    <x:row r="71">
      <x:c r="D71" s="30"/>
      <x:c r="E71" s="30"/>
      <x:c r="F71" s="30"/>
      <x:c r="G71" s="30"/>
      <x:c r="N71" s="30"/>
    </x:row>
    <x:row r="72">
      <x:c r="D72" s="30"/>
      <x:c r="E72" s="30"/>
      <x:c r="F72" s="30"/>
      <x:c r="G72" s="30"/>
      <x:c r="N72" s="30"/>
    </x:row>
    <x:row r="73">
      <x:c r="D73" s="30"/>
      <x:c r="E73" s="30"/>
      <x:c r="F73" s="30"/>
      <x:c r="G73" s="30"/>
      <x:c r="N73" s="30"/>
    </x:row>
    <x:row r="74">
      <x:c r="D74" s="30"/>
      <x:c r="E74" s="30"/>
      <x:c r="F74" s="30"/>
      <x:c r="G74" s="30"/>
      <x:c r="N74" s="30"/>
    </x:row>
    <x:row r="75">
      <x:c r="D75" s="30"/>
      <x:c r="E75" s="30"/>
      <x:c r="F75" s="30"/>
      <x:c r="G75" s="30"/>
      <x:c r="N75" s="30"/>
    </x:row>
    <x:row r="76">
      <x:c r="D76" s="30"/>
      <x:c r="E76" s="30"/>
      <x:c r="F76" s="30"/>
      <x:c r="G76" s="30"/>
      <x:c r="N76" s="30"/>
    </x:row>
    <x:row r="77">
      <x:c r="D77" s="30"/>
      <x:c r="E77" s="30"/>
      <x:c r="F77" s="30"/>
      <x:c r="G77" s="30"/>
      <x:c r="N77" s="30"/>
    </x:row>
    <x:row r="78">
      <x:c r="D78" s="30"/>
      <x:c r="E78" s="30"/>
      <x:c r="F78" s="30"/>
      <x:c r="G78" s="30"/>
      <x:c r="N78" s="30"/>
    </x:row>
    <x:row r="79">
      <x:c r="D79" s="30"/>
      <x:c r="E79" s="30"/>
      <x:c r="F79" s="30"/>
      <x:c r="G79" s="30"/>
      <x:c r="N79" s="30"/>
    </x:row>
    <x:row r="80">
      <x:c r="D80" s="30"/>
      <x:c r="E80" s="30"/>
      <x:c r="F80" s="30"/>
      <x:c r="G80" s="30"/>
      <x:c r="N80" s="30"/>
    </x:row>
    <x:row r="81">
      <x:c r="D81" s="30"/>
      <x:c r="E81" s="30"/>
      <x:c r="F81" s="30"/>
      <x:c r="G81" s="30"/>
      <x:c r="N81" s="30"/>
    </x:row>
    <x:row r="82">
      <x:c r="D82" s="30"/>
      <x:c r="E82" s="30"/>
      <x:c r="F82" s="30"/>
      <x:c r="G82" s="30"/>
      <x:c r="N82" s="30"/>
    </x:row>
    <x:row r="83">
      <x:c r="D83" s="30"/>
      <x:c r="E83" s="30"/>
      <x:c r="F83" s="30"/>
      <x:c r="G83" s="30"/>
      <x:c r="N83" s="30"/>
    </x:row>
    <x:row r="84">
      <x:c r="D84" s="30"/>
      <x:c r="E84" s="30"/>
      <x:c r="F84" s="30"/>
      <x:c r="G84" s="30"/>
      <x:c r="N84" s="30"/>
    </x:row>
    <x:row r="85">
      <x:c r="D85" s="30"/>
      <x:c r="E85" s="30"/>
      <x:c r="F85" s="30"/>
      <x:c r="G85" s="30"/>
      <x:c r="N85" s="30"/>
    </x:row>
    <x:row r="86">
      <x:c r="D86" s="30"/>
      <x:c r="E86" s="30"/>
      <x:c r="F86" s="30"/>
      <x:c r="G86" s="30"/>
      <x:c r="N86" s="30"/>
    </x:row>
    <x:row r="87">
      <x:c r="D87" s="30"/>
      <x:c r="E87" s="30"/>
      <x:c r="F87" s="30"/>
      <x:c r="G87" s="30"/>
      <x:c r="N87" s="30"/>
    </x:row>
    <x:row r="88">
      <x:c r="D88" s="30"/>
      <x:c r="E88" s="30"/>
      <x:c r="F88" s="30"/>
      <x:c r="G88" s="30"/>
      <x:c r="N88" s="30"/>
    </x:row>
    <x:row r="89">
      <x:c r="D89" s="30"/>
      <x:c r="E89" s="30"/>
      <x:c r="F89" s="30"/>
      <x:c r="G89" s="30"/>
      <x:c r="N89" s="30"/>
    </x:row>
    <x:row r="90">
      <x:c r="D90" s="30"/>
      <x:c r="E90" s="30"/>
      <x:c r="F90" s="30"/>
      <x:c r="G90" s="30"/>
      <x:c r="N90" s="30"/>
    </x:row>
    <x:row r="91">
      <x:c r="D91" s="30"/>
      <x:c r="E91" s="30"/>
      <x:c r="F91" s="30"/>
      <x:c r="G91" s="30"/>
      <x:c r="N91" s="30"/>
    </x:row>
    <x:row r="92">
      <x:c r="D92" s="30"/>
      <x:c r="E92" s="30"/>
      <x:c r="F92" s="30"/>
      <x:c r="G92" s="30"/>
      <x:c r="N92" s="30"/>
    </x:row>
    <x:row r="93">
      <x:c r="D93" s="30"/>
      <x:c r="E93" s="30"/>
      <x:c r="F93" s="30"/>
      <x:c r="G93" s="30"/>
      <x:c r="N93" s="30"/>
    </x:row>
    <x:row r="94">
      <x:c r="D94" s="30"/>
      <x:c r="E94" s="30"/>
      <x:c r="F94" s="30"/>
      <x:c r="G94" s="30"/>
      <x:c r="N94" s="30"/>
    </x:row>
    <x:row r="95">
      <x:c r="D95" s="30"/>
      <x:c r="E95" s="30"/>
      <x:c r="F95" s="30"/>
      <x:c r="G95" s="30"/>
      <x:c r="N95" s="30"/>
    </x:row>
    <x:row r="96">
      <x:c r="D96" s="30"/>
      <x:c r="E96" s="30"/>
      <x:c r="F96" s="30"/>
      <x:c r="G96" s="30"/>
      <x:c r="N96" s="30"/>
    </x:row>
    <x:row r="97">
      <x:c r="D97" s="30"/>
      <x:c r="E97" s="30"/>
      <x:c r="F97" s="30"/>
      <x:c r="G97" s="30"/>
      <x:c r="N97" s="30"/>
    </x:row>
    <x:row r="98">
      <x:c r="D98" s="30"/>
      <x:c r="E98" s="30"/>
      <x:c r="F98" s="30"/>
      <x:c r="G98" s="30"/>
      <x:c r="N98" s="30"/>
    </x:row>
    <x:row r="99">
      <x:c r="D99" s="30"/>
      <x:c r="E99" s="30"/>
      <x:c r="F99" s="30"/>
      <x:c r="G99" s="30"/>
      <x:c r="N99" s="30"/>
    </x:row>
    <x:row r="100">
      <x:c r="D100" s="30"/>
      <x:c r="E100" s="30"/>
      <x:c r="F100" s="30"/>
      <x:c r="G100" s="30"/>
      <x:c r="N100" s="30"/>
    </x:row>
  </x:sheetData>
  <x:mergeCells>
    <x:mergeCell ref="A1:N2"/>
  </x:mergeCells>
  <x:conditionalFormatting sqref="K5:K100">
    <x:cfRule type="expression" dxfId="2" priority="1">
      <x:formula>K5="Completed"</x:formula>
    </x:cfRule>
    <x:cfRule type="expression" dxfId="3" priority="2">
      <x:formula>K5="In Progress"</x:formula>
    </x:cfRule>
    <x:cfRule type="expression" dxfId="4" priority="3">
      <x:formula>K5="Returned"</x:formula>
    </x:cfRule>
  </x:conditionalFormatting>
  <x:dataValidations count="2">
    <x:dataValidation type="list" sqref="K5:K100">
      <x:formula1>"Not Assigned,Assigned,In Progress,Submitted,Returned,Completed"</x:formula1>
    </x:dataValidation>
    <x:dataValidation operator="between" sqref="L5:L100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2eaf0548c8845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16" hidden="0" customWidth="1"/>
    <x:col min="5" max="5" width="36" hidden="0" customWidth="1"/>
    <x:col min="6" max="6" width="14" hidden="0" customWidth="1"/>
  </x:cols>
  <x:sheetData>
    <x:row r="1" ht="30" customHeight="1">
      <x:c r="A1" s="5" t="str">
        <x:v>SQL Technique Coverage</x:v>
      </x:c>
    </x:row>
    <x:row r="4">
      <x:c r="A4" s="14" t="str">
        <x:v>Technique</x:v>
      </x:c>
      <x:c r="B4" s="14" t="str">
        <x:v>Approx. Questions</x:v>
      </x:c>
      <x:c r="C4" s="14" t="str">
        <x:v>SQL Pattern</x:v>
      </x:c>
      <x:c r="D4" s="14" t="str">
        <x:v>Level</x:v>
      </x:c>
      <x:c r="E4" s="14" t="str">
        <x:v>Use Cases</x:v>
      </x:c>
      <x:c r="F4" s="14" t="str">
        <x:v>Status</x:v>
      </x:c>
    </x:row>
    <x:row r="5">
      <x:c r="A5" t="str">
        <x:v>Filtering and sorting</x:v>
      </x:c>
      <x:c r="B5" t="n">
        <x:v>12</x:v>
      </x:c>
      <x:c r="C5" s="30" t="str">
        <x:v>WHERE, IN, BETWEEN, ORDER BY</x:v>
      </x:c>
      <x:c r="D5" s="30" t="str">
        <x:v>Beginner</x:v>
      </x:c>
      <x:c r="E5" s="30" t="str">
        <x:v>Sales, attendance, tickets</x:v>
      </x:c>
      <x:c r="F5" t="str">
        <x:v>Ready</x:v>
      </x:c>
    </x:row>
    <x:row r="6">
      <x:c r="A6" t="str">
        <x:v>Conditional aggregation</x:v>
      </x:c>
      <x:c r="B6" t="n">
        <x:v>18</x:v>
      </x:c>
      <x:c r="C6" s="30" t="str">
        <x:v>SUM(CASE WHEN...), COUNT(DISTINCT...)</x:v>
      </x:c>
      <x:c r="D6" s="30" t="str">
        <x:v>Beginner</x:v>
      </x:c>
      <x:c r="E6" s="30" t="str">
        <x:v>All departments</x:v>
      </x:c>
      <x:c r="F6" t="str">
        <x:v>Ready</x:v>
      </x:c>
    </x:row>
    <x:row r="7">
      <x:c r="A7" t="str">
        <x:v>Multi-table joins</x:v>
      </x:c>
      <x:c r="B7" t="n">
        <x:v>48</x:v>
      </x:c>
      <x:c r="C7" s="30" t="str">
        <x:v>INNER, LEFT, FULL OUTER joins</x:v>
      </x:c>
      <x:c r="D7" s="30" t="str">
        <x:v>Intermediate</x:v>
      </x:c>
      <x:c r="E7" s="30" t="str">
        <x:v>All departments</x:v>
      </x:c>
      <x:c r="F7" t="str">
        <x:v>Ready</x:v>
      </x:c>
    </x:row>
    <x:row r="8">
      <x:c r="A8" t="str">
        <x:v>CTEs</x:v>
      </x:c>
      <x:c r="B8" t="n">
        <x:v>35</x:v>
      </x:c>
      <x:c r="C8" s="30" t="str">
        <x:v>WITH named result sets</x:v>
      </x:c>
      <x:c r="D8" s="30" t="str">
        <x:v>Intermediate</x:v>
      </x:c>
      <x:c r="E8" s="30" t="str">
        <x:v>Variance, trends, risk</x:v>
      </x:c>
      <x:c r="F8" t="str">
        <x:v>Ready</x:v>
      </x:c>
    </x:row>
    <x:row r="9">
      <x:c r="A9" t="str">
        <x:v>Window functions</x:v>
      </x:c>
      <x:c r="B9" t="n">
        <x:v>14</x:v>
      </x:c>
      <x:c r="C9" s="30" t="str">
        <x:v>RANK, DENSE_RANK, LAG, cumulative SUM</x:v>
      </x:c>
      <x:c r="D9" s="30" t="str">
        <x:v>Intermediate</x:v>
      </x:c>
      <x:c r="E9" s="30" t="str">
        <x:v>Sales, cost, Pareto</x:v>
      </x:c>
      <x:c r="F9" t="str">
        <x:v>Ready</x:v>
      </x:c>
    </x:row>
    <x:row r="10">
      <x:c r="A10" t="str">
        <x:v>Date analysis</x:v>
      </x:c>
      <x:c r="B10" t="n">
        <x:v>31</x:v>
      </x:c>
      <x:c r="C10" s="30" t="str">
        <x:v>DATEFROMPARTS, DATEDIFF, EOMONTH</x:v>
      </x:c>
      <x:c r="D10" s="30" t="str">
        <x:v>Intermediate</x:v>
      </x:c>
      <x:c r="E10" s="30" t="str">
        <x:v>Trends, aging, SLA</x:v>
      </x:c>
      <x:c r="F10" t="str">
        <x:v>Ready</x:v>
      </x:c>
    </x:row>
    <x:row r="11">
      <x:c r="A11" t="str">
        <x:v>Percentage and ratio safety</x:v>
      </x:c>
      <x:c r="B11" t="n">
        <x:v>30</x:v>
      </x:c>
      <x:c r="C11" s="30" t="str">
        <x:v>NULLIF denominators, decimal casting</x:v>
      </x:c>
      <x:c r="D11" s="30" t="str">
        <x:v>Intermediate</x:v>
      </x:c>
      <x:c r="E11" s="30" t="str">
        <x:v>KPI calculations</x:v>
      </x:c>
      <x:c r="F11" t="str">
        <x:v>Ready</x:v>
      </x:c>
    </x:row>
    <x:row r="12">
      <x:c r="A12" t="str">
        <x:v>Prescriptive CASE logic</x:v>
      </x:c>
      <x:c r="B12" t="n">
        <x:v>22</x:v>
      </x:c>
      <x:c r="C12" s="30" t="str">
        <x:v>Rule-based recommendation output</x:v>
      </x:c>
      <x:c r="D12" s="30" t="str">
        <x:v>Intermediate</x:v>
      </x:c>
      <x:c r="E12" s="30" t="str">
        <x:v>Management action questions</x:v>
      </x:c>
      <x:c r="F12" t="str">
        <x:v>Ready</x:v>
      </x:c>
    </x:row>
    <x:row r="13">
      <x:c r="A13" t="str">
        <x:v>Data-quality validation</x:v>
      </x:c>
      <x:c r="B13" t="n">
        <x:v>16</x:v>
      </x:c>
      <x:c r="C13" s="30" t="str">
        <x:v>Reconciliation, metadata checks</x:v>
      </x:c>
      <x:c r="D13" s="30" t="str">
        <x:v>Advanced</x:v>
      </x:c>
      <x:c r="E13" s="30" t="str">
        <x:v>BI, risk, finance</x:v>
      </x:c>
      <x:c r="F13" t="str">
        <x:v>Ready</x:v>
      </x:c>
    </x:row>
    <x:row r="14">
      <x:c r="A14" t="str">
        <x:v>Cross-domain analysis</x:v>
      </x:c>
      <x:c r="B14" t="n">
        <x:v>10</x:v>
      </x:c>
      <x:c r="C14" s="30" t="str">
        <x:v>Facts from multiple schemas</x:v>
      </x:c>
      <x:c r="D14" s="30" t="str">
        <x:v>Advanced</x:v>
      </x:c>
      <x:c r="E14" s="30" t="str">
        <x:v>Executive and governance</x:v>
      </x:c>
      <x:c r="F14" t="str">
        <x:v>Ready</x:v>
      </x:c>
    </x:row>
    <x:row r="15">
      <x:c r="C15" s="30"/>
      <x:c r="D15" s="30"/>
      <x:c r="E15" s="30"/>
    </x:row>
    <x:row r="16">
      <x:c r="C16" s="30"/>
      <x:c r="D16" s="30"/>
      <x:c r="E16" s="30"/>
    </x:row>
    <x:row r="17">
      <x:c r="C17" s="30"/>
      <x:c r="D17" s="30"/>
      <x:c r="E17" s="30"/>
    </x:row>
    <x:row r="18">
      <x:c r="C18" s="30"/>
      <x:c r="D18" s="30"/>
      <x:c r="E18" s="30"/>
    </x:row>
    <x:row r="19">
      <x:c r="C19" s="30"/>
      <x:c r="D19" s="30"/>
      <x:c r="E19" s="30"/>
    </x:row>
    <x:row r="20">
      <x:c r="C20" s="30"/>
      <x:c r="D20" s="30"/>
      <x:c r="E20" s="30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4e2dd3f41fe541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20" hidden="0" customWidth="1"/>
    <x:col min="5" max="5" width="16" hidden="0" customWidth="1"/>
    <x:col min="6" max="6" width="20" hidden="0" customWidth="1"/>
    <x:col min="7" max="7" width="18" hidden="0" customWidth="1"/>
    <x:col min="8" max="8" width="38" hidden="0" customWidth="1"/>
  </x:cols>
  <x:sheetData>
    <x:row r="1" ht="30" customHeight="1">
      <x:c r="A1" s="5" t="str">
        <x:v>SQL Result Validation Checklist</x:v>
      </x:c>
    </x:row>
    <x:row r="4">
      <x:c r="A4" s="14" t="str">
        <x:v>Check ID</x:v>
      </x:c>
      <x:c r="B4" s="14" t="str">
        <x:v>Validation Check</x:v>
      </x:c>
      <x:c r="C4" s="14" t="str">
        <x:v>Control Objective</x:v>
      </x:c>
      <x:c r="D4" s="14" t="str">
        <x:v>Applies To</x:v>
      </x:c>
      <x:c r="E4" s="14" t="str">
        <x:v>Requirement</x:v>
      </x:c>
      <x:c r="F4" s="14" t="str">
        <x:v>Reviewer</x:v>
      </x:c>
      <x:c r="G4" s="14" t="str">
        <x:v>Status</x:v>
      </x:c>
      <x:c r="H4" s="14" t="str">
        <x:v>Evidence</x:v>
      </x:c>
    </x:row>
    <x:row r="5">
      <x:c r="A5" t="str">
        <x:v>V-001</x:v>
      </x:c>
      <x:c r="B5" s="30" t="str">
        <x:v>Confirm row grain</x:v>
      </x:c>
      <x:c r="C5" s="30" t="str">
        <x:v>One row represents the intended entity or period.</x:v>
      </x:c>
      <x:c r="D5" s="30" t="str">
        <x:v>All</x:v>
      </x:c>
      <x:c r="E5" s="30" t="str">
        <x:v>Required</x:v>
      </x:c>
      <x:c r="F5" s="30" t="str"/>
      <x:c r="G5" s="30" t="str"/>
      <x:c r="H5" s="30" t="str"/>
    </x:row>
    <x:row r="6">
      <x:c r="A6" t="str">
        <x:v>V-002</x:v>
      </x:c>
      <x:c r="B6" s="30" t="str">
        <x:v>Confirm joins</x:v>
      </x:c>
      <x:c r="C6" s="30" t="str">
        <x:v>No unintended duplication or record loss.</x:v>
      </x:c>
      <x:c r="D6" s="30" t="str">
        <x:v>Joins</x:v>
      </x:c>
      <x:c r="E6" s="30" t="str">
        <x:v>Required</x:v>
      </x:c>
      <x:c r="F6" s="30" t="str"/>
      <x:c r="G6" s="30" t="str"/>
      <x:c r="H6" s="30" t="str"/>
    </x:row>
    <x:row r="7">
      <x:c r="A7" t="str">
        <x:v>V-003</x:v>
      </x:c>
      <x:c r="B7" s="30" t="str">
        <x:v>Confirm filters</x:v>
      </x:c>
      <x:c r="C7" s="30" t="str">
        <x:v>Status, period, branch, and completion filters match the question.</x:v>
      </x:c>
      <x:c r="D7" s="30" t="str">
        <x:v>All</x:v>
      </x:c>
      <x:c r="E7" s="30" t="str">
        <x:v>Required</x:v>
      </x:c>
      <x:c r="F7" s="30" t="str"/>
      <x:c r="G7" s="30" t="str"/>
      <x:c r="H7" s="30" t="str"/>
    </x:row>
    <x:row r="8">
      <x:c r="A8" t="str">
        <x:v>V-004</x:v>
      </x:c>
      <x:c r="B8" s="30" t="str">
        <x:v>Check denominator</x:v>
      </x:c>
      <x:c r="C8" s="30" t="str">
        <x:v>Percentages use NULLIF and the correct denominator.</x:v>
      </x:c>
      <x:c r="D8" s="30" t="str">
        <x:v>Ratios</x:v>
      </x:c>
      <x:c r="E8" s="30" t="str">
        <x:v>Required</x:v>
      </x:c>
      <x:c r="F8" s="30" t="str"/>
      <x:c r="G8" s="30" t="str"/>
      <x:c r="H8" s="30" t="str"/>
    </x:row>
    <x:row r="9">
      <x:c r="A9" t="str">
        <x:v>V-005</x:v>
      </x:c>
      <x:c r="B9" s="30" t="str">
        <x:v>Reconcile totals</x:v>
      </x:c>
      <x:c r="C9" s="30" t="str">
        <x:v>Compare one total with a simple independent query.</x:v>
      </x:c>
      <x:c r="D9" s="30" t="str">
        <x:v>Aggregation</x:v>
      </x:c>
      <x:c r="E9" s="30" t="str">
        <x:v>Required</x:v>
      </x:c>
      <x:c r="F9" s="30" t="str"/>
      <x:c r="G9" s="30" t="str"/>
      <x:c r="H9" s="30" t="str"/>
    </x:row>
    <x:row r="10">
      <x:c r="A10" t="str">
        <x:v>V-006</x:v>
      </x:c>
      <x:c r="B10" s="30" t="str">
        <x:v>Check date boundaries</x:v>
      </x:c>
      <x:c r="C10" s="30" t="str">
        <x:v>Periods do not overlap and end dates are handled correctly.</x:v>
      </x:c>
      <x:c r="D10" s="30" t="str">
        <x:v>Time analysis</x:v>
      </x:c>
      <x:c r="E10" s="30" t="str">
        <x:v>Required</x:v>
      </x:c>
      <x:c r="F10" s="30" t="str"/>
      <x:c r="G10" s="30" t="str"/>
      <x:c r="H10" s="30" t="str"/>
    </x:row>
    <x:row r="11">
      <x:c r="A11" t="str">
        <x:v>V-007</x:v>
      </x:c>
      <x:c r="B11" s="30" t="str">
        <x:v>Review NULL values</x:v>
      </x:c>
      <x:c r="C11" s="30" t="str">
        <x:v>NULL values are not silently treated as zero without justification.</x:v>
      </x:c>
      <x:c r="D11" s="30" t="str">
        <x:v>All</x:v>
      </x:c>
      <x:c r="E11" s="30" t="str">
        <x:v>Required</x:v>
      </x:c>
      <x:c r="F11" s="30" t="str"/>
      <x:c r="G11" s="30" t="str"/>
      <x:c r="H11" s="30" t="str"/>
    </x:row>
    <x:row r="12">
      <x:c r="A12" t="str">
        <x:v>V-008</x:v>
      </x:c>
      <x:c r="B12" s="30" t="str">
        <x:v>Review ranking ties</x:v>
      </x:c>
      <x:c r="C12" s="30" t="str">
        <x:v>RANK or DENSE_RANK behavior is appropriate.</x:v>
      </x:c>
      <x:c r="D12" s="30" t="str">
        <x:v>Ranking</x:v>
      </x:c>
      <x:c r="E12" s="30" t="str">
        <x:v>Recommended</x:v>
      </x:c>
      <x:c r="F12" s="30" t="str"/>
      <x:c r="G12" s="30" t="str"/>
      <x:c r="H12" s="30" t="str"/>
    </x:row>
    <x:row r="13">
      <x:c r="A13" t="str">
        <x:v>V-009</x:v>
      </x:c>
      <x:c r="B13" s="30" t="str">
        <x:v>Test extreme records</x:v>
      </x:c>
      <x:c r="C13" s="30" t="str">
        <x:v>Inspect highest, lowest, overdue, or negative records.</x:v>
      </x:c>
      <x:c r="D13" s="30" t="str">
        <x:v>Diagnostic</x:v>
      </x:c>
      <x:c r="E13" s="30" t="str">
        <x:v>Recommended</x:v>
      </x:c>
      <x:c r="F13" s="30" t="str"/>
      <x:c r="G13" s="30" t="str"/>
      <x:c r="H13" s="30" t="str"/>
    </x:row>
    <x:row r="14">
      <x:c r="A14" t="str">
        <x:v>V-010</x:v>
      </x:c>
      <x:c r="B14" s="30" t="str">
        <x:v>Explain recommendation</x:v>
      </x:c>
      <x:c r="C14" s="30" t="str">
        <x:v>Prescriptive rules are transparent and supported by evidence.</x:v>
      </x:c>
      <x:c r="D14" s="30" t="str">
        <x:v>Prescriptive</x:v>
      </x:c>
      <x:c r="E14" s="30" t="str">
        <x:v>Required</x:v>
      </x:c>
      <x:c r="F14" s="30" t="str"/>
      <x:c r="G14" s="30" t="str"/>
      <x:c r="H14" s="30" t="str"/>
    </x:row>
    <x:row r="15">
      <x:c r="B15" s="30"/>
      <x:c r="C15" s="30"/>
      <x:c r="D15" s="30"/>
      <x:c r="E15" s="30"/>
      <x:c r="F15" s="30"/>
      <x:c r="G15" s="30"/>
      <x:c r="H15" s="30"/>
    </x:row>
    <x:row r="16">
      <x:c r="B16" s="30"/>
      <x:c r="C16" s="30"/>
      <x:c r="D16" s="30"/>
      <x:c r="E16" s="30"/>
      <x:c r="F16" s="30"/>
      <x:c r="G16" s="30"/>
      <x:c r="H16" s="30"/>
    </x:row>
    <x:row r="17">
      <x:c r="B17" s="30"/>
      <x:c r="C17" s="30"/>
      <x:c r="D17" s="30"/>
      <x:c r="E17" s="30"/>
      <x:c r="F17" s="30"/>
      <x:c r="G17" s="30"/>
      <x:c r="H17" s="30"/>
    </x:row>
    <x:row r="18">
      <x:c r="B18" s="30"/>
      <x:c r="C18" s="30"/>
      <x:c r="D18" s="30"/>
      <x:c r="E18" s="30"/>
      <x:c r="F18" s="30"/>
      <x:c r="G18" s="30"/>
      <x:c r="H18" s="30"/>
    </x:row>
    <x:row r="19">
      <x:c r="B19" s="30"/>
      <x:c r="C19" s="30"/>
      <x:c r="D19" s="30"/>
      <x:c r="E19" s="30"/>
      <x:c r="F19" s="30"/>
      <x:c r="G19" s="30"/>
      <x:c r="H19" s="30"/>
    </x:row>
    <x:row r="20">
      <x:c r="B20" s="30"/>
      <x:c r="C20" s="30"/>
      <x:c r="D20" s="30"/>
      <x:c r="E20" s="30"/>
      <x:c r="F20" s="30"/>
      <x:c r="G20" s="30"/>
      <x:c r="H20" s="30"/>
    </x:row>
    <x:row r="21">
      <x:c r="B21" s="30"/>
      <x:c r="C21" s="30"/>
      <x:c r="D21" s="30"/>
      <x:c r="E21" s="30"/>
      <x:c r="F21" s="30"/>
      <x:c r="G21" s="30"/>
      <x:c r="H21" s="30"/>
    </x:row>
    <x:row r="22">
      <x:c r="B22" s="30"/>
      <x:c r="C22" s="30"/>
      <x:c r="D22" s="30"/>
      <x:c r="E22" s="30"/>
      <x:c r="F22" s="30"/>
      <x:c r="G22" s="30"/>
      <x:c r="H22" s="30"/>
    </x:row>
    <x:row r="23">
      <x:c r="B23" s="30"/>
      <x:c r="C23" s="30"/>
      <x:c r="D23" s="30"/>
      <x:c r="E23" s="30"/>
      <x:c r="F23" s="30"/>
      <x:c r="G23" s="30"/>
      <x:c r="H23" s="30"/>
    </x:row>
    <x:row r="24">
      <x:c r="B24" s="30"/>
      <x:c r="C24" s="30"/>
      <x:c r="D24" s="30"/>
      <x:c r="E24" s="30"/>
      <x:c r="F24" s="30"/>
      <x:c r="G24" s="30"/>
      <x:c r="H24" s="30"/>
    </x:row>
    <x:row r="25">
      <x:c r="B25" s="30"/>
      <x:c r="C25" s="30"/>
      <x:c r="D25" s="30"/>
      <x:c r="E25" s="30"/>
      <x:c r="F25" s="30"/>
      <x:c r="G25" s="30"/>
      <x:c r="H25" s="30"/>
    </x:row>
    <x:row r="26">
      <x:c r="B26" s="30"/>
      <x:c r="C26" s="30"/>
      <x:c r="D26" s="30"/>
      <x:c r="E26" s="30"/>
      <x:c r="F26" s="30"/>
      <x:c r="G26" s="30"/>
      <x:c r="H26" s="30"/>
    </x:row>
    <x:row r="27">
      <x:c r="B27" s="30"/>
      <x:c r="C27" s="30"/>
      <x:c r="D27" s="30"/>
      <x:c r="E27" s="30"/>
      <x:c r="F27" s="30"/>
      <x:c r="G27" s="30"/>
      <x:c r="H27" s="30"/>
    </x:row>
    <x:row r="28">
      <x:c r="B28" s="30"/>
      <x:c r="C28" s="30"/>
      <x:c r="D28" s="30"/>
      <x:c r="E28" s="30"/>
      <x:c r="F28" s="30"/>
      <x:c r="G28" s="30"/>
      <x:c r="H28" s="30"/>
    </x:row>
    <x:row r="29">
      <x:c r="B29" s="30"/>
      <x:c r="C29" s="30"/>
      <x:c r="D29" s="30"/>
      <x:c r="E29" s="30"/>
      <x:c r="F29" s="30"/>
      <x:c r="G29" s="30"/>
      <x:c r="H29" s="30"/>
    </x:row>
    <x:row r="30">
      <x:c r="B30" s="30"/>
      <x:c r="C30" s="30"/>
      <x:c r="D30" s="30"/>
      <x:c r="E30" s="30"/>
      <x:c r="F30" s="30"/>
      <x:c r="G30" s="30"/>
      <x:c r="H30" s="30"/>
    </x:row>
    <x:row r="31">
      <x:c r="B31" s="30"/>
      <x:c r="C31" s="30"/>
      <x:c r="D31" s="30"/>
      <x:c r="E31" s="30"/>
      <x:c r="F31" s="30"/>
      <x:c r="G31" s="30"/>
      <x:c r="H31" s="30"/>
    </x:row>
    <x:row r="32">
      <x:c r="B32" s="30"/>
      <x:c r="C32" s="30"/>
      <x:c r="D32" s="30"/>
      <x:c r="E32" s="30"/>
      <x:c r="F32" s="30"/>
      <x:c r="G32" s="30"/>
      <x:c r="H32" s="30"/>
    </x:row>
    <x:row r="33">
      <x:c r="B33" s="30"/>
      <x:c r="C33" s="30"/>
      <x:c r="D33" s="30"/>
      <x:c r="E33" s="30"/>
      <x:c r="F33" s="30"/>
      <x:c r="G33" s="30"/>
      <x:c r="H33" s="30"/>
    </x:row>
    <x:row r="34">
      <x:c r="B34" s="30"/>
      <x:c r="C34" s="30"/>
      <x:c r="D34" s="30"/>
      <x:c r="E34" s="30"/>
      <x:c r="F34" s="30"/>
      <x:c r="G34" s="30"/>
      <x:c r="H34" s="30"/>
    </x:row>
    <x:row r="35">
      <x:c r="B35" s="30"/>
      <x:c r="C35" s="30"/>
      <x:c r="D35" s="30"/>
      <x:c r="E35" s="30"/>
      <x:c r="F35" s="30"/>
      <x:c r="G35" s="30"/>
      <x:c r="H35" s="30"/>
    </x:row>
    <x:row r="36">
      <x:c r="B36" s="30"/>
      <x:c r="C36" s="30"/>
      <x:c r="D36" s="30"/>
      <x:c r="E36" s="30"/>
      <x:c r="F36" s="30"/>
      <x:c r="G36" s="30"/>
      <x:c r="H36" s="30"/>
    </x:row>
    <x:row r="37">
      <x:c r="B37" s="30"/>
      <x:c r="C37" s="30"/>
      <x:c r="D37" s="30"/>
      <x:c r="E37" s="30"/>
      <x:c r="F37" s="30"/>
      <x:c r="G37" s="30"/>
      <x:c r="H37" s="30"/>
    </x:row>
    <x:row r="38">
      <x:c r="B38" s="30"/>
      <x:c r="C38" s="30"/>
      <x:c r="D38" s="30"/>
      <x:c r="E38" s="30"/>
      <x:c r="F38" s="30"/>
      <x:c r="G38" s="30"/>
      <x:c r="H38" s="30"/>
    </x:row>
    <x:row r="39">
      <x:c r="B39" s="30"/>
      <x:c r="C39" s="30"/>
      <x:c r="D39" s="30"/>
      <x:c r="E39" s="30"/>
      <x:c r="F39" s="30"/>
      <x:c r="G39" s="30"/>
      <x:c r="H39" s="30"/>
    </x:row>
    <x:row r="40">
      <x:c r="B40" s="30"/>
      <x:c r="C40" s="30"/>
      <x:c r="D40" s="30"/>
      <x:c r="E40" s="30"/>
      <x:c r="F40" s="30"/>
      <x:c r="G40" s="30"/>
      <x:c r="H40" s="30"/>
    </x:row>
    <x:row r="41">
      <x:c r="B41" s="30"/>
      <x:c r="C41" s="30"/>
      <x:c r="D41" s="30"/>
      <x:c r="E41" s="30"/>
      <x:c r="F41" s="30"/>
      <x:c r="G41" s="30"/>
      <x:c r="H41" s="30"/>
    </x:row>
    <x:row r="42">
      <x:c r="B42" s="30"/>
      <x:c r="C42" s="30"/>
      <x:c r="D42" s="30"/>
      <x:c r="E42" s="30"/>
      <x:c r="F42" s="30"/>
      <x:c r="G42" s="30"/>
      <x:c r="H42" s="30"/>
    </x:row>
    <x:row r="43">
      <x:c r="B43" s="30"/>
      <x:c r="C43" s="30"/>
      <x:c r="D43" s="30"/>
      <x:c r="E43" s="30"/>
      <x:c r="F43" s="30"/>
      <x:c r="G43" s="30"/>
      <x:c r="H43" s="30"/>
    </x:row>
    <x:row r="44">
      <x:c r="B44" s="30"/>
      <x:c r="C44" s="30"/>
      <x:c r="D44" s="30"/>
      <x:c r="E44" s="30"/>
      <x:c r="F44" s="30"/>
      <x:c r="G44" s="30"/>
      <x:c r="H44" s="30"/>
    </x:row>
    <x:row r="45">
      <x:c r="B45" s="30"/>
      <x:c r="C45" s="30"/>
      <x:c r="D45" s="30"/>
      <x:c r="E45" s="30"/>
      <x:c r="F45" s="30"/>
      <x:c r="G45" s="30"/>
      <x:c r="H45" s="30"/>
    </x:row>
    <x:row r="46">
      <x:c r="B46" s="30"/>
      <x:c r="C46" s="30"/>
      <x:c r="D46" s="30"/>
      <x:c r="E46" s="30"/>
      <x:c r="F46" s="30"/>
      <x:c r="G46" s="30"/>
      <x:c r="H46" s="30"/>
    </x:row>
    <x:row r="47">
      <x:c r="B47" s="30"/>
      <x:c r="C47" s="30"/>
      <x:c r="D47" s="30"/>
      <x:c r="E47" s="30"/>
      <x:c r="F47" s="30"/>
      <x:c r="G47" s="30"/>
      <x:c r="H47" s="30"/>
    </x:row>
    <x:row r="48">
      <x:c r="B48" s="30"/>
      <x:c r="C48" s="30"/>
      <x:c r="D48" s="30"/>
      <x:c r="E48" s="30"/>
      <x:c r="F48" s="30"/>
      <x:c r="G48" s="30"/>
      <x:c r="H48" s="30"/>
    </x:row>
    <x:row r="49">
      <x:c r="B49" s="30"/>
      <x:c r="C49" s="30"/>
      <x:c r="D49" s="30"/>
      <x:c r="E49" s="30"/>
      <x:c r="F49" s="30"/>
      <x:c r="G49" s="30"/>
      <x:c r="H49" s="30"/>
    </x:row>
    <x:row r="50">
      <x:c r="B50" s="30"/>
      <x:c r="C50" s="30"/>
      <x:c r="D50" s="30"/>
      <x:c r="E50" s="30"/>
      <x:c r="F50" s="30"/>
      <x:c r="G50" s="30"/>
      <x:c r="H50" s="30"/>
    </x:row>
  </x:sheetData>
  <x:mergeCells>
    <x:mergeCell ref="A1:H2"/>
  </x:mergeCells>
  <x:conditionalFormatting sqref="G5:G50">
    <x:cfRule type="expression" dxfId="5" priority="1">
      <x:formula>G5="Pass"</x:formula>
    </x:cfRule>
    <x:cfRule type="expression" dxfId="6" priority="2">
      <x:formula>G5="Fail"</x:formula>
    </x:cfRule>
  </x:conditionalFormatting>
  <x:dataValidations count="1">
    <x:dataValidation type="list" sqref="G5:G50">
      <x:formula1>"Not Reviewed,Pass,Partial,Fail,Not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b1a3d40a348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3" hidden="0" customWidth="1"/>
    <x:col min="4" max="4" width="14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3" hidden="0" customWidth="1"/>
    <x:col min="10" max="10" width="16" hidden="0" customWidth="1"/>
    <x:col min="11" max="11" width="22" hidden="0" customWidth="1"/>
    <x:col min="12" max="12" width="48" hidden="0" customWidth="1"/>
  </x:cols>
  <x:sheetData>
    <x:row r="1" ht="30" customHeight="1">
      <x:c r="A1" s="5" t="str">
        <x:v>Student SQL Assessment Log</x:v>
      </x:c>
    </x:row>
    <x:row r="4">
      <x:c r="A4" s="14" t="str">
        <x:v>Assessment ID</x:v>
      </x:c>
      <x:c r="B4" s="14" t="str">
        <x:v>Student / Team</x:v>
      </x:c>
      <x:c r="C4" s="14" t="str">
        <x:v>Case ID</x:v>
      </x:c>
      <x:c r="D4" s="14" t="str">
        <x:v>Assigned Date</x:v>
      </x:c>
      <x:c r="E4" s="14" t="str">
        <x:v>Due Date</x:v>
      </x:c>
      <x:c r="F4" s="14" t="str">
        <x:v>Questions Assigned</x:v>
      </x:c>
      <x:c r="G4" s="14" t="str">
        <x:v>Score</x:v>
      </x:c>
      <x:c r="H4" s="14" t="str">
        <x:v>Maximum</x:v>
      </x:c>
      <x:c r="I4" s="14" t="str">
        <x:v>Percentage</x:v>
      </x:c>
      <x:c r="J4" s="14" t="str">
        <x:v>Classification</x:v>
      </x:c>
      <x:c r="K4" s="14" t="str">
        <x:v>Instructor</x:v>
      </x:c>
      <x:c r="L4" s="14" t="str">
        <x:v>Feedback</x:v>
      </x:c>
    </x:row>
    <x:row r="5">
      <x:c r="A5" t="str">
        <x:v>SQL-ASG-001</x:v>
      </x:c>
      <x:c r="B5" t="str"/>
      <x:c r="C5" t="str"/>
      <x:c r="D5" s="32" t="str"/>
      <x:c r="E5" s="32" t="str"/>
      <x:c r="F5" t="n">
        <x:v>3</x:v>
      </x:c>
      <x:c r="G5" t="str"/>
      <x:c r="H5" t="n">
        <x:v>15</x:v>
      </x:c>
      <x:c r="I5" s="34" t="str">
        <x:f>IF(OR(G5="",H5=0),"",G5/H5)</x:f>
      </x:c>
      <x:c r="J5" t="str">
        <x:f>IF(I5="","",IF(I5&gt;=0.8,"Distinction",IF(I5&gt;=0.7,"Merit",IF(I5&gt;=0.6,"Credit",IF(I5&gt;=0.5,"Pass","Fail")))))</x:f>
      </x:c>
      <x:c r="K5" t="str"/>
      <x:c r="L5" s="30" t="str"/>
    </x:row>
    <x:row r="6">
      <x:c r="A6" t="str">
        <x:v>SQL-ASG-002</x:v>
      </x:c>
      <x:c r="B6" t="str"/>
      <x:c r="C6" t="str"/>
      <x:c r="D6" s="32" t="str"/>
      <x:c r="E6" s="32" t="str"/>
      <x:c r="F6" t="n">
        <x:v>3</x:v>
      </x:c>
      <x:c r="G6" t="str"/>
      <x:c r="H6" t="n">
        <x:v>15</x:v>
      </x:c>
      <x:c r="I6" s="34" t="str">
        <x:f>IF(OR(G6="",H6=0),"",G6/H6)</x:f>
      </x:c>
      <x:c r="J6" t="str">
        <x:f>IF(I6="","",IF(I6&gt;=0.8,"Distinction",IF(I6&gt;=0.7,"Merit",IF(I6&gt;=0.6,"Credit",IF(I6&gt;=0.5,"Pass","Fail")))))</x:f>
      </x:c>
      <x:c r="K6" t="str"/>
      <x:c r="L6" s="30" t="str"/>
    </x:row>
    <x:row r="7">
      <x:c r="A7" t="str">
        <x:v>SQL-ASG-003</x:v>
      </x:c>
      <x:c r="B7" t="str"/>
      <x:c r="C7" t="str"/>
      <x:c r="D7" s="32" t="str"/>
      <x:c r="E7" s="32" t="str"/>
      <x:c r="F7" t="n">
        <x:v>3</x:v>
      </x:c>
      <x:c r="G7" t="str"/>
      <x:c r="H7" t="n">
        <x:v>15</x:v>
      </x:c>
      <x:c r="I7" s="34" t="str">
        <x:f>IF(OR(G7="",H7=0),"",G7/H7)</x:f>
      </x:c>
      <x:c r="J7" t="str">
        <x:f>IF(I7="","",IF(I7&gt;=0.8,"Distinction",IF(I7&gt;=0.7,"Merit",IF(I7&gt;=0.6,"Credit",IF(I7&gt;=0.5,"Pass","Fail")))))</x:f>
      </x:c>
      <x:c r="K7" t="str"/>
      <x:c r="L7" s="30" t="str"/>
    </x:row>
    <x:row r="8">
      <x:c r="A8" t="str">
        <x:v>SQL-ASG-004</x:v>
      </x:c>
      <x:c r="B8" t="str"/>
      <x:c r="C8" t="str"/>
      <x:c r="D8" s="32" t="str"/>
      <x:c r="E8" s="32" t="str"/>
      <x:c r="F8" t="n">
        <x:v>3</x:v>
      </x:c>
      <x:c r="G8" t="str"/>
      <x:c r="H8" t="n">
        <x:v>15</x:v>
      </x:c>
      <x:c r="I8" s="34" t="str">
        <x:f>IF(OR(G8="",H8=0),"",G8/H8)</x:f>
      </x:c>
      <x:c r="J8" t="str">
        <x:f>IF(I8="","",IF(I8&gt;=0.8,"Distinction",IF(I8&gt;=0.7,"Merit",IF(I8&gt;=0.6,"Credit",IF(I8&gt;=0.5,"Pass","Fail")))))</x:f>
      </x:c>
      <x:c r="K8" t="str"/>
      <x:c r="L8" s="30" t="str"/>
    </x:row>
    <x:row r="9">
      <x:c r="A9" t="str">
        <x:v>SQL-ASG-005</x:v>
      </x:c>
      <x:c r="B9" t="str"/>
      <x:c r="C9" t="str"/>
      <x:c r="D9" s="32" t="str"/>
      <x:c r="E9" s="32" t="str"/>
      <x:c r="F9" t="n">
        <x:v>3</x:v>
      </x:c>
      <x:c r="G9" t="str"/>
      <x:c r="H9" t="n">
        <x:v>15</x:v>
      </x:c>
      <x:c r="I9" s="34" t="str">
        <x:f>IF(OR(G9="",H9=0),"",G9/H9)</x:f>
      </x:c>
      <x:c r="J9" t="str">
        <x:f>IF(I9="","",IF(I9&gt;=0.8,"Distinction",IF(I9&gt;=0.7,"Merit",IF(I9&gt;=0.6,"Credit",IF(I9&gt;=0.5,"Pass","Fail")))))</x:f>
      </x:c>
      <x:c r="K9" t="str"/>
      <x:c r="L9" s="30" t="str"/>
    </x:row>
    <x:row r="10">
      <x:c r="A10" t="str">
        <x:v>SQL-ASG-006</x:v>
      </x:c>
      <x:c r="B10" t="str"/>
      <x:c r="C10" t="str"/>
      <x:c r="D10" s="32" t="str"/>
      <x:c r="E10" s="32" t="str"/>
      <x:c r="F10" t="n">
        <x:v>3</x:v>
      </x:c>
      <x:c r="G10" t="str"/>
      <x:c r="H10" t="n">
        <x:v>15</x:v>
      </x:c>
      <x:c r="I10" s="34" t="str">
        <x:f>IF(OR(G10="",H10=0),"",G10/H10)</x:f>
      </x:c>
      <x:c r="J10" t="str">
        <x:f>IF(I10="","",IF(I10&gt;=0.8,"Distinction",IF(I10&gt;=0.7,"Merit",IF(I10&gt;=0.6,"Credit",IF(I10&gt;=0.5,"Pass","Fail")))))</x:f>
      </x:c>
      <x:c r="K10" t="str"/>
      <x:c r="L10" s="30" t="str"/>
    </x:row>
    <x:row r="11">
      <x:c r="A11" t="str">
        <x:v>SQL-ASG-007</x:v>
      </x:c>
      <x:c r="B11" t="str"/>
      <x:c r="C11" t="str"/>
      <x:c r="D11" s="32" t="str"/>
      <x:c r="E11" s="32" t="str"/>
      <x:c r="F11" t="n">
        <x:v>3</x:v>
      </x:c>
      <x:c r="G11" t="str"/>
      <x:c r="H11" t="n">
        <x:v>15</x:v>
      </x:c>
      <x:c r="I11" s="34" t="str">
        <x:f>IF(OR(G11="",H11=0),"",G11/H11)</x:f>
      </x:c>
      <x:c r="J11" t="str">
        <x:f>IF(I11="","",IF(I11&gt;=0.8,"Distinction",IF(I11&gt;=0.7,"Merit",IF(I11&gt;=0.6,"Credit",IF(I11&gt;=0.5,"Pass","Fail")))))</x:f>
      </x:c>
      <x:c r="K11" t="str"/>
      <x:c r="L11" s="30" t="str"/>
    </x:row>
    <x:row r="12">
      <x:c r="A12" t="str">
        <x:v>SQL-ASG-008</x:v>
      </x:c>
      <x:c r="B12" t="str"/>
      <x:c r="C12" t="str"/>
      <x:c r="D12" s="32" t="str"/>
      <x:c r="E12" s="32" t="str"/>
      <x:c r="F12" t="n">
        <x:v>3</x:v>
      </x:c>
      <x:c r="G12" t="str"/>
      <x:c r="H12" t="n">
        <x:v>15</x:v>
      </x:c>
      <x:c r="I12" s="34" t="str">
        <x:f>IF(OR(G12="",H12=0),"",G12/H12)</x:f>
      </x:c>
      <x:c r="J12" t="str">
        <x:f>IF(I12="","",IF(I12&gt;=0.8,"Distinction",IF(I12&gt;=0.7,"Merit",IF(I12&gt;=0.6,"Credit",IF(I12&gt;=0.5,"Pass","Fail")))))</x:f>
      </x:c>
      <x:c r="K12" t="str"/>
      <x:c r="L12" s="30" t="str"/>
    </x:row>
    <x:row r="13">
      <x:c r="A13" t="str">
        <x:v>SQL-ASG-009</x:v>
      </x:c>
      <x:c r="B13" t="str"/>
      <x:c r="C13" t="str"/>
      <x:c r="D13" s="32" t="str"/>
      <x:c r="E13" s="32" t="str"/>
      <x:c r="F13" t="n">
        <x:v>3</x:v>
      </x:c>
      <x:c r="G13" t="str"/>
      <x:c r="H13" t="n">
        <x:v>15</x:v>
      </x:c>
      <x:c r="I13" s="34" t="str">
        <x:f>IF(OR(G13="",H13=0),"",G13/H13)</x:f>
      </x:c>
      <x:c r="J13" t="str">
        <x:f>IF(I13="","",IF(I13&gt;=0.8,"Distinction",IF(I13&gt;=0.7,"Merit",IF(I13&gt;=0.6,"Credit",IF(I13&gt;=0.5,"Pass","Fail")))))</x:f>
      </x:c>
      <x:c r="K13" t="str"/>
      <x:c r="L13" s="30" t="str"/>
    </x:row>
    <x:row r="14">
      <x:c r="A14" t="str">
        <x:v>SQL-ASG-010</x:v>
      </x:c>
      <x:c r="B14" t="str"/>
      <x:c r="C14" t="str"/>
      <x:c r="D14" s="32" t="str"/>
      <x:c r="E14" s="32" t="str"/>
      <x:c r="F14" t="n">
        <x:v>3</x:v>
      </x:c>
      <x:c r="G14" t="str"/>
      <x:c r="H14" t="n">
        <x:v>15</x:v>
      </x:c>
      <x:c r="I14" s="34" t="str">
        <x:f>IF(OR(G14="",H14=0),"",G14/H14)</x:f>
      </x:c>
      <x:c r="J14" t="str">
        <x:f>IF(I14="","",IF(I14&gt;=0.8,"Distinction",IF(I14&gt;=0.7,"Merit",IF(I14&gt;=0.6,"Credit",IF(I14&gt;=0.5,"Pass","Fail")))))</x:f>
      </x:c>
      <x:c r="K14" t="str"/>
      <x:c r="L14" s="30" t="str"/>
    </x:row>
    <x:row r="15">
      <x:c r="A15" t="str">
        <x:v>SQL-ASG-011</x:v>
      </x:c>
      <x:c r="B15" t="str"/>
      <x:c r="C15" t="str"/>
      <x:c r="D15" s="32" t="str"/>
      <x:c r="E15" s="32" t="str"/>
      <x:c r="F15" t="n">
        <x:v>3</x:v>
      </x:c>
      <x:c r="G15" t="str"/>
      <x:c r="H15" t="n">
        <x:v>15</x:v>
      </x:c>
      <x:c r="I15" s="34" t="str">
        <x:f>IF(OR(G15="",H15=0),"",G15/H15)</x:f>
      </x:c>
      <x:c r="J15" t="str">
        <x:f>IF(I15="","",IF(I15&gt;=0.8,"Distinction",IF(I15&gt;=0.7,"Merit",IF(I15&gt;=0.6,"Credit",IF(I15&gt;=0.5,"Pass","Fail")))))</x:f>
      </x:c>
      <x:c r="K15" t="str"/>
      <x:c r="L15" s="30" t="str"/>
    </x:row>
    <x:row r="16">
      <x:c r="A16" t="str">
        <x:v>SQL-ASG-012</x:v>
      </x:c>
      <x:c r="B16" t="str"/>
      <x:c r="C16" t="str"/>
      <x:c r="D16" s="32" t="str"/>
      <x:c r="E16" s="32" t="str"/>
      <x:c r="F16" t="n">
        <x:v>3</x:v>
      </x:c>
      <x:c r="G16" t="str"/>
      <x:c r="H16" t="n">
        <x:v>15</x:v>
      </x:c>
      <x:c r="I16" s="34" t="str">
        <x:f>IF(OR(G16="",H16=0),"",G16/H16)</x:f>
      </x:c>
      <x:c r="J16" t="str">
        <x:f>IF(I16="","",IF(I16&gt;=0.8,"Distinction",IF(I16&gt;=0.7,"Merit",IF(I16&gt;=0.6,"Credit",IF(I16&gt;=0.5,"Pass","Fail")))))</x:f>
      </x:c>
      <x:c r="K16" t="str"/>
      <x:c r="L16" s="30" t="str"/>
    </x:row>
    <x:row r="17">
      <x:c r="A17" t="str">
        <x:v>SQL-ASG-013</x:v>
      </x:c>
      <x:c r="B17" t="str"/>
      <x:c r="C17" t="str"/>
      <x:c r="D17" s="32" t="str"/>
      <x:c r="E17" s="32" t="str"/>
      <x:c r="F17" t="n">
        <x:v>3</x:v>
      </x:c>
      <x:c r="G17" t="str"/>
      <x:c r="H17" t="n">
        <x:v>15</x:v>
      </x:c>
      <x:c r="I17" s="34" t="str">
        <x:f>IF(OR(G17="",H17=0),"",G17/H17)</x:f>
      </x:c>
      <x:c r="J17" t="str">
        <x:f>IF(I17="","",IF(I17&gt;=0.8,"Distinction",IF(I17&gt;=0.7,"Merit",IF(I17&gt;=0.6,"Credit",IF(I17&gt;=0.5,"Pass","Fail")))))</x:f>
      </x:c>
      <x:c r="K17" t="str"/>
      <x:c r="L17" s="30" t="str"/>
    </x:row>
    <x:row r="18">
      <x:c r="A18" t="str">
        <x:v>SQL-ASG-014</x:v>
      </x:c>
      <x:c r="B18" t="str"/>
      <x:c r="C18" t="str"/>
      <x:c r="D18" s="32" t="str"/>
      <x:c r="E18" s="32" t="str"/>
      <x:c r="F18" t="n">
        <x:v>3</x:v>
      </x:c>
      <x:c r="G18" t="str"/>
      <x:c r="H18" t="n">
        <x:v>15</x:v>
      </x:c>
      <x:c r="I18" s="34" t="str">
        <x:f>IF(OR(G18="",H18=0),"",G18/H18)</x:f>
      </x:c>
      <x:c r="J18" t="str">
        <x:f>IF(I18="","",IF(I18&gt;=0.8,"Distinction",IF(I18&gt;=0.7,"Merit",IF(I18&gt;=0.6,"Credit",IF(I18&gt;=0.5,"Pass","Fail")))))</x:f>
      </x:c>
      <x:c r="K18" t="str"/>
      <x:c r="L18" s="30" t="str"/>
    </x:row>
    <x:row r="19">
      <x:c r="A19" t="str">
        <x:v>SQL-ASG-015</x:v>
      </x:c>
      <x:c r="B19" t="str"/>
      <x:c r="C19" t="str"/>
      <x:c r="D19" s="32" t="str"/>
      <x:c r="E19" s="32" t="str"/>
      <x:c r="F19" t="n">
        <x:v>3</x:v>
      </x:c>
      <x:c r="G19" t="str"/>
      <x:c r="H19" t="n">
        <x:v>15</x:v>
      </x:c>
      <x:c r="I19" s="34" t="str">
        <x:f>IF(OR(G19="",H19=0),"",G19/H19)</x:f>
      </x:c>
      <x:c r="J19" t="str">
        <x:f>IF(I19="","",IF(I19&gt;=0.8,"Distinction",IF(I19&gt;=0.7,"Merit",IF(I19&gt;=0.6,"Credit",IF(I19&gt;=0.5,"Pass","Fail")))))</x:f>
      </x:c>
      <x:c r="K19" t="str"/>
      <x:c r="L19" s="30" t="str"/>
    </x:row>
    <x:row r="20">
      <x:c r="A20" t="str">
        <x:v>SQL-ASG-016</x:v>
      </x:c>
      <x:c r="B20" t="str"/>
      <x:c r="C20" t="str"/>
      <x:c r="D20" s="32" t="str"/>
      <x:c r="E20" s="32" t="str"/>
      <x:c r="F20" t="n">
        <x:v>3</x:v>
      </x:c>
      <x:c r="G20" t="str"/>
      <x:c r="H20" t="n">
        <x:v>15</x:v>
      </x:c>
      <x:c r="I20" s="34" t="str">
        <x:f>IF(OR(G20="",H20=0),"",G20/H20)</x:f>
      </x:c>
      <x:c r="J20" t="str">
        <x:f>IF(I20="","",IF(I20&gt;=0.8,"Distinction",IF(I20&gt;=0.7,"Merit",IF(I20&gt;=0.6,"Credit",IF(I20&gt;=0.5,"Pass","Fail")))))</x:f>
      </x:c>
      <x:c r="K20" t="str"/>
      <x:c r="L20" s="30" t="str"/>
    </x:row>
    <x:row r="21">
      <x:c r="A21" t="str">
        <x:v>SQL-ASG-017</x:v>
      </x:c>
      <x:c r="B21" t="str"/>
      <x:c r="C21" t="str"/>
      <x:c r="D21" s="32" t="str"/>
      <x:c r="E21" s="32" t="str"/>
      <x:c r="F21" t="n">
        <x:v>3</x:v>
      </x:c>
      <x:c r="G21" t="str"/>
      <x:c r="H21" t="n">
        <x:v>15</x:v>
      </x:c>
      <x:c r="I21" s="34" t="str">
        <x:f>IF(OR(G21="",H21=0),"",G21/H21)</x:f>
      </x:c>
      <x:c r="J21" t="str">
        <x:f>IF(I21="","",IF(I21&gt;=0.8,"Distinction",IF(I21&gt;=0.7,"Merit",IF(I21&gt;=0.6,"Credit",IF(I21&gt;=0.5,"Pass","Fail")))))</x:f>
      </x:c>
      <x:c r="K21" t="str"/>
      <x:c r="L21" s="30" t="str"/>
    </x:row>
    <x:row r="22">
      <x:c r="A22" t="str">
        <x:v>SQL-ASG-018</x:v>
      </x:c>
      <x:c r="B22" t="str"/>
      <x:c r="C22" t="str"/>
      <x:c r="D22" s="32" t="str"/>
      <x:c r="E22" s="32" t="str"/>
      <x:c r="F22" t="n">
        <x:v>3</x:v>
      </x:c>
      <x:c r="G22" t="str"/>
      <x:c r="H22" t="n">
        <x:v>15</x:v>
      </x:c>
      <x:c r="I22" s="34" t="str">
        <x:f>IF(OR(G22="",H22=0),"",G22/H22)</x:f>
      </x:c>
      <x:c r="J22" t="str">
        <x:f>IF(I22="","",IF(I22&gt;=0.8,"Distinction",IF(I22&gt;=0.7,"Merit",IF(I22&gt;=0.6,"Credit",IF(I22&gt;=0.5,"Pass","Fail")))))</x:f>
      </x:c>
      <x:c r="K22" t="str"/>
      <x:c r="L22" s="30" t="str"/>
    </x:row>
    <x:row r="23">
      <x:c r="A23" t="str">
        <x:v>SQL-ASG-019</x:v>
      </x:c>
      <x:c r="B23" t="str"/>
      <x:c r="C23" t="str"/>
      <x:c r="D23" s="32" t="str"/>
      <x:c r="E23" s="32" t="str"/>
      <x:c r="F23" t="n">
        <x:v>3</x:v>
      </x:c>
      <x:c r="G23" t="str"/>
      <x:c r="H23" t="n">
        <x:v>15</x:v>
      </x:c>
      <x:c r="I23" s="34" t="str">
        <x:f>IF(OR(G23="",H23=0),"",G23/H23)</x:f>
      </x:c>
      <x:c r="J23" t="str">
        <x:f>IF(I23="","",IF(I23&gt;=0.8,"Distinction",IF(I23&gt;=0.7,"Merit",IF(I23&gt;=0.6,"Credit",IF(I23&gt;=0.5,"Pass","Fail")))))</x:f>
      </x:c>
      <x:c r="K23" t="str"/>
      <x:c r="L23" s="30" t="str"/>
    </x:row>
    <x:row r="24">
      <x:c r="A24" t="str">
        <x:v>SQL-ASG-020</x:v>
      </x:c>
      <x:c r="B24" t="str"/>
      <x:c r="C24" t="str"/>
      <x:c r="D24" s="32" t="str"/>
      <x:c r="E24" s="32" t="str"/>
      <x:c r="F24" t="n">
        <x:v>3</x:v>
      </x:c>
      <x:c r="G24" t="str"/>
      <x:c r="H24" t="n">
        <x:v>15</x:v>
      </x:c>
      <x:c r="I24" s="34" t="str">
        <x:f>IF(OR(G24="",H24=0),"",G24/H24)</x:f>
      </x:c>
      <x:c r="J24" t="str">
        <x:f>IF(I24="","",IF(I24&gt;=0.8,"Distinction",IF(I24&gt;=0.7,"Merit",IF(I24&gt;=0.6,"Credit",IF(I24&gt;=0.5,"Pass","Fail")))))</x:f>
      </x:c>
      <x:c r="K24" t="str"/>
      <x:c r="L24" s="30" t="str"/>
    </x:row>
    <x:row r="25">
      <x:c r="A25" t="str">
        <x:v>SQL-ASG-021</x:v>
      </x:c>
      <x:c r="B25" t="str"/>
      <x:c r="C25" t="str"/>
      <x:c r="D25" s="32" t="str"/>
      <x:c r="E25" s="32" t="str"/>
      <x:c r="F25" t="n">
        <x:v>3</x:v>
      </x:c>
      <x:c r="G25" t="str"/>
      <x:c r="H25" t="n">
        <x:v>15</x:v>
      </x:c>
      <x:c r="I25" s="34" t="str">
        <x:f>IF(OR(G25="",H25=0),"",G25/H25)</x:f>
      </x:c>
      <x:c r="J25" t="str">
        <x:f>IF(I25="","",IF(I25&gt;=0.8,"Distinction",IF(I25&gt;=0.7,"Merit",IF(I25&gt;=0.6,"Credit",IF(I25&gt;=0.5,"Pass","Fail")))))</x:f>
      </x:c>
      <x:c r="K25" t="str"/>
      <x:c r="L25" s="30" t="str"/>
    </x:row>
    <x:row r="26">
      <x:c r="A26" t="str">
        <x:v>SQL-ASG-022</x:v>
      </x:c>
      <x:c r="B26" t="str"/>
      <x:c r="C26" t="str"/>
      <x:c r="D26" s="32" t="str"/>
      <x:c r="E26" s="32" t="str"/>
      <x:c r="F26" t="n">
        <x:v>3</x:v>
      </x:c>
      <x:c r="G26" t="str"/>
      <x:c r="H26" t="n">
        <x:v>15</x:v>
      </x:c>
      <x:c r="I26" s="34" t="str">
        <x:f>IF(OR(G26="",H26=0),"",G26/H26)</x:f>
      </x:c>
      <x:c r="J26" t="str">
        <x:f>IF(I26="","",IF(I26&gt;=0.8,"Distinction",IF(I26&gt;=0.7,"Merit",IF(I26&gt;=0.6,"Credit",IF(I26&gt;=0.5,"Pass","Fail")))))</x:f>
      </x:c>
      <x:c r="K26" t="str"/>
      <x:c r="L26" s="30" t="str"/>
    </x:row>
    <x:row r="27">
      <x:c r="A27" t="str">
        <x:v>SQL-ASG-023</x:v>
      </x:c>
      <x:c r="B27" t="str"/>
      <x:c r="C27" t="str"/>
      <x:c r="D27" s="32" t="str"/>
      <x:c r="E27" s="32" t="str"/>
      <x:c r="F27" t="n">
        <x:v>3</x:v>
      </x:c>
      <x:c r="G27" t="str"/>
      <x:c r="H27" t="n">
        <x:v>15</x:v>
      </x:c>
      <x:c r="I27" s="34" t="str">
        <x:f>IF(OR(G27="",H27=0),"",G27/H27)</x:f>
      </x:c>
      <x:c r="J27" t="str">
        <x:f>IF(I27="","",IF(I27&gt;=0.8,"Distinction",IF(I27&gt;=0.7,"Merit",IF(I27&gt;=0.6,"Credit",IF(I27&gt;=0.5,"Pass","Fail")))))</x:f>
      </x:c>
      <x:c r="K27" t="str"/>
      <x:c r="L27" s="30" t="str"/>
    </x:row>
    <x:row r="28">
      <x:c r="A28" t="str">
        <x:v>SQL-ASG-024</x:v>
      </x:c>
      <x:c r="B28" t="str"/>
      <x:c r="C28" t="str"/>
      <x:c r="D28" s="32" t="str"/>
      <x:c r="E28" s="32" t="str"/>
      <x:c r="F28" t="n">
        <x:v>3</x:v>
      </x:c>
      <x:c r="G28" t="str"/>
      <x:c r="H28" t="n">
        <x:v>15</x:v>
      </x:c>
      <x:c r="I28" s="34" t="str">
        <x:f>IF(OR(G28="",H28=0),"",G28/H28)</x:f>
      </x:c>
      <x:c r="J28" t="str">
        <x:f>IF(I28="","",IF(I28&gt;=0.8,"Distinction",IF(I28&gt;=0.7,"Merit",IF(I28&gt;=0.6,"Credit",IF(I28&gt;=0.5,"Pass","Fail")))))</x:f>
      </x:c>
      <x:c r="K28" t="str"/>
      <x:c r="L28" s="30" t="str"/>
    </x:row>
    <x:row r="29">
      <x:c r="A29" t="str">
        <x:v>SQL-ASG-025</x:v>
      </x:c>
      <x:c r="B29" t="str"/>
      <x:c r="C29" t="str"/>
      <x:c r="D29" s="32" t="str"/>
      <x:c r="E29" s="32" t="str"/>
      <x:c r="F29" t="n">
        <x:v>3</x:v>
      </x:c>
      <x:c r="G29" t="str"/>
      <x:c r="H29" t="n">
        <x:v>15</x:v>
      </x:c>
      <x:c r="I29" s="34" t="str">
        <x:f>IF(OR(G29="",H29=0),"",G29/H29)</x:f>
      </x:c>
      <x:c r="J29" t="str">
        <x:f>IF(I29="","",IF(I29&gt;=0.8,"Distinction",IF(I29&gt;=0.7,"Merit",IF(I29&gt;=0.6,"Credit",IF(I29&gt;=0.5,"Pass","Fail")))))</x:f>
      </x:c>
      <x:c r="K29" t="str"/>
      <x:c r="L29" s="30" t="str"/>
    </x:row>
    <x:row r="30">
      <x:c r="A30" t="str">
        <x:v>SQL-ASG-026</x:v>
      </x:c>
      <x:c r="B30" t="str"/>
      <x:c r="C30" t="str"/>
      <x:c r="D30" s="32" t="str"/>
      <x:c r="E30" s="32" t="str"/>
      <x:c r="F30" t="n">
        <x:v>3</x:v>
      </x:c>
      <x:c r="G30" t="str"/>
      <x:c r="H30" t="n">
        <x:v>15</x:v>
      </x:c>
      <x:c r="I30" s="34" t="str">
        <x:f>IF(OR(G30="",H30=0),"",G30/H30)</x:f>
      </x:c>
      <x:c r="J30" t="str">
        <x:f>IF(I30="","",IF(I30&gt;=0.8,"Distinction",IF(I30&gt;=0.7,"Merit",IF(I30&gt;=0.6,"Credit",IF(I30&gt;=0.5,"Pass","Fail")))))</x:f>
      </x:c>
      <x:c r="K30" t="str"/>
      <x:c r="L30" s="30" t="str"/>
    </x:row>
    <x:row r="31">
      <x:c r="A31" t="str">
        <x:v>SQL-ASG-027</x:v>
      </x:c>
      <x:c r="B31" t="str"/>
      <x:c r="C31" t="str"/>
      <x:c r="D31" s="32" t="str"/>
      <x:c r="E31" s="32" t="str"/>
      <x:c r="F31" t="n">
        <x:v>3</x:v>
      </x:c>
      <x:c r="G31" t="str"/>
      <x:c r="H31" t="n">
        <x:v>15</x:v>
      </x:c>
      <x:c r="I31" s="34" t="str">
        <x:f>IF(OR(G31="",H31=0),"",G31/H31)</x:f>
      </x:c>
      <x:c r="J31" t="str">
        <x:f>IF(I31="","",IF(I31&gt;=0.8,"Distinction",IF(I31&gt;=0.7,"Merit",IF(I31&gt;=0.6,"Credit",IF(I31&gt;=0.5,"Pass","Fail")))))</x:f>
      </x:c>
      <x:c r="K31" t="str"/>
      <x:c r="L31" s="30" t="str"/>
    </x:row>
    <x:row r="32">
      <x:c r="A32" t="str">
        <x:v>SQL-ASG-028</x:v>
      </x:c>
      <x:c r="B32" t="str"/>
      <x:c r="C32" t="str"/>
      <x:c r="D32" s="32" t="str"/>
      <x:c r="E32" s="32" t="str"/>
      <x:c r="F32" t="n">
        <x:v>3</x:v>
      </x:c>
      <x:c r="G32" t="str"/>
      <x:c r="H32" t="n">
        <x:v>15</x:v>
      </x:c>
      <x:c r="I32" s="34" t="str">
        <x:f>IF(OR(G32="",H32=0),"",G32/H32)</x:f>
      </x:c>
      <x:c r="J32" t="str">
        <x:f>IF(I32="","",IF(I32&gt;=0.8,"Distinction",IF(I32&gt;=0.7,"Merit",IF(I32&gt;=0.6,"Credit",IF(I32&gt;=0.5,"Pass","Fail")))))</x:f>
      </x:c>
      <x:c r="K32" t="str"/>
      <x:c r="L32" s="30" t="str"/>
    </x:row>
    <x:row r="33">
      <x:c r="A33" t="str">
        <x:v>SQL-ASG-029</x:v>
      </x:c>
      <x:c r="B33" t="str"/>
      <x:c r="C33" t="str"/>
      <x:c r="D33" s="32" t="str"/>
      <x:c r="E33" s="32" t="str"/>
      <x:c r="F33" t="n">
        <x:v>3</x:v>
      </x:c>
      <x:c r="G33" t="str"/>
      <x:c r="H33" t="n">
        <x:v>15</x:v>
      </x:c>
      <x:c r="I33" s="34" t="str">
        <x:f>IF(OR(G33="",H33=0),"",G33/H33)</x:f>
      </x:c>
      <x:c r="J33" t="str">
        <x:f>IF(I33="","",IF(I33&gt;=0.8,"Distinction",IF(I33&gt;=0.7,"Merit",IF(I33&gt;=0.6,"Credit",IF(I33&gt;=0.5,"Pass","Fail")))))</x:f>
      </x:c>
      <x:c r="K33" t="str"/>
      <x:c r="L33" s="30" t="str"/>
    </x:row>
    <x:row r="34">
      <x:c r="A34" t="str">
        <x:v>SQL-ASG-030</x:v>
      </x:c>
      <x:c r="B34" t="str"/>
      <x:c r="C34" t="str"/>
      <x:c r="D34" s="32" t="str"/>
      <x:c r="E34" s="32" t="str"/>
      <x:c r="F34" t="n">
        <x:v>3</x:v>
      </x:c>
      <x:c r="G34" t="str"/>
      <x:c r="H34" t="n">
        <x:v>15</x:v>
      </x:c>
      <x:c r="I34" s="34" t="str">
        <x:f>IF(OR(G34="",H34=0),"",G34/H34)</x:f>
      </x:c>
      <x:c r="J34" t="str">
        <x:f>IF(I34="","",IF(I34&gt;=0.8,"Distinction",IF(I34&gt;=0.7,"Merit",IF(I34&gt;=0.6,"Credit",IF(I34&gt;=0.5,"Pass","Fail")))))</x:f>
      </x:c>
      <x:c r="K34" t="str"/>
      <x:c r="L34" s="30" t="str"/>
    </x:row>
    <x:row r="35">
      <x:c r="A35" t="str">
        <x:v>SQL-ASG-031</x:v>
      </x:c>
      <x:c r="B35" t="str"/>
      <x:c r="C35" t="str"/>
      <x:c r="D35" s="32" t="str"/>
      <x:c r="E35" s="32" t="str"/>
      <x:c r="F35" t="n">
        <x:v>3</x:v>
      </x:c>
      <x:c r="G35" t="str"/>
      <x:c r="H35" t="n">
        <x:v>15</x:v>
      </x:c>
      <x:c r="I35" s="34" t="str">
        <x:f>IF(OR(G35="",H35=0),"",G35/H35)</x:f>
      </x:c>
      <x:c r="J35" t="str">
        <x:f>IF(I35="","",IF(I35&gt;=0.8,"Distinction",IF(I35&gt;=0.7,"Merit",IF(I35&gt;=0.6,"Credit",IF(I35&gt;=0.5,"Pass","Fail")))))</x:f>
      </x:c>
      <x:c r="K35" t="str"/>
      <x:c r="L35" s="30" t="str"/>
    </x:row>
    <x:row r="36">
      <x:c r="A36" t="str">
        <x:v>SQL-ASG-032</x:v>
      </x:c>
      <x:c r="B36" t="str"/>
      <x:c r="C36" t="str"/>
      <x:c r="D36" s="32" t="str"/>
      <x:c r="E36" s="32" t="str"/>
      <x:c r="F36" t="n">
        <x:v>3</x:v>
      </x:c>
      <x:c r="G36" t="str"/>
      <x:c r="H36" t="n">
        <x:v>15</x:v>
      </x:c>
      <x:c r="I36" s="34" t="str">
        <x:f>IF(OR(G36="",H36=0),"",G36/H36)</x:f>
      </x:c>
      <x:c r="J36" t="str">
        <x:f>IF(I36="","",IF(I36&gt;=0.8,"Distinction",IF(I36&gt;=0.7,"Merit",IF(I36&gt;=0.6,"Credit",IF(I36&gt;=0.5,"Pass","Fail")))))</x:f>
      </x:c>
      <x:c r="K36" t="str"/>
      <x:c r="L36" s="30" t="str"/>
    </x:row>
    <x:row r="37">
      <x:c r="A37" t="str">
        <x:v>SQL-ASG-033</x:v>
      </x:c>
      <x:c r="B37" t="str"/>
      <x:c r="C37" t="str"/>
      <x:c r="D37" s="32" t="str"/>
      <x:c r="E37" s="32" t="str"/>
      <x:c r="F37" t="n">
        <x:v>3</x:v>
      </x:c>
      <x:c r="G37" t="str"/>
      <x:c r="H37" t="n">
        <x:v>15</x:v>
      </x:c>
      <x:c r="I37" s="34" t="str">
        <x:f>IF(OR(G37="",H37=0),"",G37/H37)</x:f>
      </x:c>
      <x:c r="J37" t="str">
        <x:f>IF(I37="","",IF(I37&gt;=0.8,"Distinction",IF(I37&gt;=0.7,"Merit",IF(I37&gt;=0.6,"Credit",IF(I37&gt;=0.5,"Pass","Fail")))))</x:f>
      </x:c>
      <x:c r="K37" t="str"/>
      <x:c r="L37" s="30" t="str"/>
    </x:row>
    <x:row r="38">
      <x:c r="A38" t="str">
        <x:v>SQL-ASG-034</x:v>
      </x:c>
      <x:c r="B38" t="str"/>
      <x:c r="C38" t="str"/>
      <x:c r="D38" s="32" t="str"/>
      <x:c r="E38" s="32" t="str"/>
      <x:c r="F38" t="n">
        <x:v>3</x:v>
      </x:c>
      <x:c r="G38" t="str"/>
      <x:c r="H38" t="n">
        <x:v>15</x:v>
      </x:c>
      <x:c r="I38" s="34" t="str">
        <x:f>IF(OR(G38="",H38=0),"",G38/H38)</x:f>
      </x:c>
      <x:c r="J38" t="str">
        <x:f>IF(I38="","",IF(I38&gt;=0.8,"Distinction",IF(I38&gt;=0.7,"Merit",IF(I38&gt;=0.6,"Credit",IF(I38&gt;=0.5,"Pass","Fail")))))</x:f>
      </x:c>
      <x:c r="K38" t="str"/>
      <x:c r="L38" s="30" t="str"/>
    </x:row>
    <x:row r="39">
      <x:c r="A39" t="str">
        <x:v>SQL-ASG-035</x:v>
      </x:c>
      <x:c r="B39" t="str"/>
      <x:c r="C39" t="str"/>
      <x:c r="D39" s="32" t="str"/>
      <x:c r="E39" s="32" t="str"/>
      <x:c r="F39" t="n">
        <x:v>3</x:v>
      </x:c>
      <x:c r="G39" t="str"/>
      <x:c r="H39" t="n">
        <x:v>15</x:v>
      </x:c>
      <x:c r="I39" s="34" t="str">
        <x:f>IF(OR(G39="",H39=0),"",G39/H39)</x:f>
      </x:c>
      <x:c r="J39" t="str">
        <x:f>IF(I39="","",IF(I39&gt;=0.8,"Distinction",IF(I39&gt;=0.7,"Merit",IF(I39&gt;=0.6,"Credit",IF(I39&gt;=0.5,"Pass","Fail")))))</x:f>
      </x:c>
      <x:c r="K39" t="str"/>
      <x:c r="L39" s="30" t="str"/>
    </x:row>
    <x:row r="40">
      <x:c r="A40" t="str">
        <x:v>SQL-ASG-036</x:v>
      </x:c>
      <x:c r="B40" t="str"/>
      <x:c r="C40" t="str"/>
      <x:c r="D40" s="32" t="str"/>
      <x:c r="E40" s="32" t="str"/>
      <x:c r="F40" t="n">
        <x:v>3</x:v>
      </x:c>
      <x:c r="G40" t="str"/>
      <x:c r="H40" t="n">
        <x:v>15</x:v>
      </x:c>
      <x:c r="I40" s="34" t="str">
        <x:f>IF(OR(G40="",H40=0),"",G40/H40)</x:f>
      </x:c>
      <x:c r="J40" t="str">
        <x:f>IF(I40="","",IF(I40&gt;=0.8,"Distinction",IF(I40&gt;=0.7,"Merit",IF(I40&gt;=0.6,"Credit",IF(I40&gt;=0.5,"Pass","Fail")))))</x:f>
      </x:c>
      <x:c r="K40" t="str"/>
      <x:c r="L40" s="30" t="str"/>
    </x:row>
    <x:row r="41">
      <x:c r="A41" t="str">
        <x:v>SQL-ASG-037</x:v>
      </x:c>
      <x:c r="B41" t="str"/>
      <x:c r="C41" t="str"/>
      <x:c r="D41" s="32" t="str"/>
      <x:c r="E41" s="32" t="str"/>
      <x:c r="F41" t="n">
        <x:v>3</x:v>
      </x:c>
      <x:c r="G41" t="str"/>
      <x:c r="H41" t="n">
        <x:v>15</x:v>
      </x:c>
      <x:c r="I41" s="34" t="str">
        <x:f>IF(OR(G41="",H41=0),"",G41/H41)</x:f>
      </x:c>
      <x:c r="J41" t="str">
        <x:f>IF(I41="","",IF(I41&gt;=0.8,"Distinction",IF(I41&gt;=0.7,"Merit",IF(I41&gt;=0.6,"Credit",IF(I41&gt;=0.5,"Pass","Fail")))))</x:f>
      </x:c>
      <x:c r="K41" t="str"/>
      <x:c r="L41" s="30" t="str"/>
    </x:row>
    <x:row r="42">
      <x:c r="A42" t="str">
        <x:v>SQL-ASG-038</x:v>
      </x:c>
      <x:c r="B42" t="str"/>
      <x:c r="C42" t="str"/>
      <x:c r="D42" s="32" t="str"/>
      <x:c r="E42" s="32" t="str"/>
      <x:c r="F42" t="n">
        <x:v>3</x:v>
      </x:c>
      <x:c r="G42" t="str"/>
      <x:c r="H42" t="n">
        <x:v>15</x:v>
      </x:c>
      <x:c r="I42" s="34" t="str">
        <x:f>IF(OR(G42="",H42=0),"",G42/H42)</x:f>
      </x:c>
      <x:c r="J42" t="str">
        <x:f>IF(I42="","",IF(I42&gt;=0.8,"Distinction",IF(I42&gt;=0.7,"Merit",IF(I42&gt;=0.6,"Credit",IF(I42&gt;=0.5,"Pass","Fail")))))</x:f>
      </x:c>
      <x:c r="K42" t="str"/>
      <x:c r="L42" s="30" t="str"/>
    </x:row>
    <x:row r="43">
      <x:c r="A43" t="str">
        <x:v>SQL-ASG-039</x:v>
      </x:c>
      <x:c r="B43" t="str"/>
      <x:c r="C43" t="str"/>
      <x:c r="D43" s="32" t="str"/>
      <x:c r="E43" s="32" t="str"/>
      <x:c r="F43" t="n">
        <x:v>3</x:v>
      </x:c>
      <x:c r="G43" t="str"/>
      <x:c r="H43" t="n">
        <x:v>15</x:v>
      </x:c>
      <x:c r="I43" s="34" t="str">
        <x:f>IF(OR(G43="",H43=0),"",G43/H43)</x:f>
      </x:c>
      <x:c r="J43" t="str">
        <x:f>IF(I43="","",IF(I43&gt;=0.8,"Distinction",IF(I43&gt;=0.7,"Merit",IF(I43&gt;=0.6,"Credit",IF(I43&gt;=0.5,"Pass","Fail")))))</x:f>
      </x:c>
      <x:c r="K43" t="str"/>
      <x:c r="L43" s="30" t="str"/>
    </x:row>
    <x:row r="44">
      <x:c r="A44" t="str">
        <x:v>SQL-ASG-040</x:v>
      </x:c>
      <x:c r="B44" t="str"/>
      <x:c r="C44" t="str"/>
      <x:c r="D44" s="32" t="str"/>
      <x:c r="E44" s="32" t="str"/>
      <x:c r="F44" t="n">
        <x:v>3</x:v>
      </x:c>
      <x:c r="G44" t="str"/>
      <x:c r="H44" t="n">
        <x:v>15</x:v>
      </x:c>
      <x:c r="I44" s="34" t="str">
        <x:f>IF(OR(G44="",H44=0),"",G44/H44)</x:f>
      </x:c>
      <x:c r="J44" t="str">
        <x:f>IF(I44="","",IF(I44&gt;=0.8,"Distinction",IF(I44&gt;=0.7,"Merit",IF(I44&gt;=0.6,"Credit",IF(I44&gt;=0.5,"Pass","Fail")))))</x:f>
      </x:c>
      <x:c r="K44" t="str"/>
      <x:c r="L44" s="30" t="str"/>
    </x:row>
  </x:sheetData>
  <x:mergeCells>
    <x:mergeCell ref="A1:L2"/>
  </x:mergeCells>
  <x:conditionalFormatting sqref="J5:J44">
    <x:cfRule type="expression" dxfId="7" priority="1">
      <x:formula>J5="Distinction"</x:formula>
    </x:cfRule>
    <x:cfRule type="expression" dxfId="8" priority="2">
      <x:formula>J5="Fail"</x:formula>
    </x:cfRule>
  </x:conditionalFormatting>
  <x:dataValidations count="2">
    <x:dataValidation type="list" sqref="C5:C44">
      <x:formula1>'Case Register'!$A$5:$A$26</x:formula1>
    </x:dataValidation>
    <x:dataValidation type="decimal" operator="between" sqref="G5:G44">
      <x:formula1>0</x:formula1>
      <x:formula2>15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93947eb491f48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8" hidden="0" customWidth="1"/>
    <x:col min="5" max="5" width="12" hidden="0" customWidth="1"/>
    <x:col min="6" max="6" width="12" hidden="0" customWidth="1"/>
  </x:cols>
  <x:sheetData>
    <x:row r="1" ht="30" customHeight="1">
      <x:c r="A1" s="5" t="str">
        <x:v>Departmental SQL Case Pack Dashboard</x:v>
      </x:c>
    </x:row>
    <x:row r="4">
      <x:c r="A4" s="14" t="str">
        <x:v>KPI</x:v>
      </x:c>
      <x:c r="B4" s="14" t="str">
        <x:v>Value</x:v>
      </x:c>
      <x:c r="D4" s="14" t="str">
        <x:v>Department</x:v>
      </x:c>
      <x:c r="E4" s="14" t="str">
        <x:v>Cases</x:v>
      </x:c>
      <x:c r="F4" s="14" t="str">
        <x:v>Questions</x:v>
      </x:c>
    </x:row>
    <x:row r="5">
      <x:c r="A5" s="36" t="str">
        <x:v>Departmental Cases</x:v>
      </x:c>
      <x:c r="B5" s="38" t="n">
        <x:v>22</x:v>
      </x:c>
      <x:c r="D5" t="str">
        <x:v>Business Intelligence</x:v>
      </x:c>
      <x:c r="E5" t="n">
        <x:f>COUNTIF('Case Register'!B5:B26,D5)</x:f>
        <x:v>1</x:v>
      </x:c>
      <x:c r="F5" t="n">
        <x:f>COUNTIF('Question Matrix'!C5:C70,D5)</x:f>
        <x:v>3</x:v>
      </x:c>
    </x:row>
    <x:row r="6">
      <x:c r="A6" s="36" t="str">
        <x:v>SQL Questions</x:v>
      </x:c>
      <x:c r="B6" s="38" t="n">
        <x:v>66</x:v>
      </x:c>
      <x:c r="D6" t="str">
        <x:v>Customer Service</x:v>
      </x:c>
      <x:c r="E6" t="n">
        <x:f>COUNTIF('Case Register'!B5:B26,D6)</x:f>
        <x:v>2</x:v>
      </x:c>
      <x:c r="F6" t="n">
        <x:f>COUNTIF('Question Matrix'!C5:C70,D6)</x:f>
        <x:v>6</x:v>
      </x:c>
    </x:row>
    <x:row r="7">
      <x:c r="A7" s="36" t="str">
        <x:v>Maximum Marks</x:v>
      </x:c>
      <x:c r="B7" s="38" t="n">
        <x:v>330</x:v>
      </x:c>
      <x:c r="D7" t="str">
        <x:v>Executive Management</x:v>
      </x:c>
      <x:c r="E7" t="n">
        <x:f>COUNTIF('Case Register'!B5:B26,D7)</x:f>
        <x:v>2</x:v>
      </x:c>
      <x:c r="F7" t="n">
        <x:f>COUNTIF('Question Matrix'!C5:C70,D7)</x:f>
        <x:v>6</x:v>
      </x:c>
    </x:row>
    <x:row r="8">
      <x:c r="A8" s="36" t="str">
        <x:v>Cases Completed</x:v>
      </x:c>
      <x:c r="B8" s="38" t="n">
        <x:f>COUNTIF('Case Register'!I5:I26,"Completed")</x:f>
        <x:v>0</x:v>
      </x:c>
      <x:c r="D8" t="str">
        <x:v>Finance</x:v>
      </x:c>
      <x:c r="E8" t="n">
        <x:f>COUNTIF('Case Register'!B5:B26,D8)</x:f>
        <x:v>2</x:v>
      </x:c>
      <x:c r="F8" t="n">
        <x:f>COUNTIF('Question Matrix'!C5:C70,D8)</x:f>
        <x:v>6</x:v>
      </x:c>
    </x:row>
    <x:row r="9">
      <x:c r="A9" s="36" t="str">
        <x:v>Questions Completed</x:v>
      </x:c>
      <x:c r="B9" s="38" t="n">
        <x:f>COUNTIF('Question Matrix'!K5:K70,"Completed")</x:f>
        <x:v>0</x:v>
      </x:c>
      <x:c r="D9" t="str">
        <x:v>Human Resources</x:v>
      </x:c>
      <x:c r="E9" t="n">
        <x:f>COUNTIF('Case Register'!B5:B26,D9)</x:f>
        <x:v>2</x:v>
      </x:c>
      <x:c r="F9" t="n">
        <x:f>COUNTIF('Question Matrix'!C5:C70,D9)</x:f>
        <x:v>6</x:v>
      </x:c>
    </x:row>
    <x:row r="10">
      <x:c r="A10" s="36" t="str">
        <x:v>Assessments Recorded</x:v>
      </x:c>
      <x:c r="B10" s="38" t="n">
        <x:f>COUNTIF('Assessment Log'!B5:B44,"&lt;&gt;")</x:f>
        <x:v>40</x:v>
      </x:c>
      <x:c r="D10" t="str">
        <x:v>Information Security</x:v>
      </x:c>
      <x:c r="E10" t="n">
        <x:f>COUNTIF('Case Register'!B5:B26,D10)</x:f>
        <x:v>1</x:v>
      </x:c>
      <x:c r="F10" t="n">
        <x:f>COUNTIF('Question Matrix'!C5:C70,D10)</x:f>
        <x:v>3</x:v>
      </x:c>
    </x:row>
    <x:row r="11">
      <x:c r="A11" s="36" t="str">
        <x:v>Average Assessment %</x:v>
      </x:c>
      <x:c r="B11" s="40" t="n">
        <x:f>IFERROR(AVERAGE('Assessment Log'!I5:I44),0)</x:f>
        <x:v>0</x:v>
      </x:c>
      <x:c r="D11" t="str">
        <x:v>Information Technology</x:v>
      </x:c>
      <x:c r="E11" t="n">
        <x:f>COUNTIF('Case Register'!B5:B26,D11)</x:f>
        <x:v>1</x:v>
      </x:c>
      <x:c r="F11" t="n">
        <x:f>COUNTIF('Question Matrix'!C5:C70,D11)</x:f>
        <x:v>3</x:v>
      </x:c>
    </x:row>
    <x:row r="12">
      <x:c r="A12" s="36" t="str">
        <x:v>Validation Checks Passed</x:v>
      </x:c>
      <x:c r="B12" s="38" t="n">
        <x:f>COUNTIF('Validation Checklist'!G5:G14,"Pass")</x:f>
        <x:v>0</x:v>
      </x:c>
      <x:c r="D12" t="str">
        <x:v>Inventory</x:v>
      </x:c>
      <x:c r="E12" t="n">
        <x:f>COUNTIF('Case Register'!B5:B26,D12)</x:f>
        <x:v>2</x:v>
      </x:c>
      <x:c r="F12" t="n">
        <x:f>COUNTIF('Question Matrix'!C5:C70,D12)</x:f>
        <x:v>6</x:v>
      </x:c>
    </x:row>
    <x:row r="13">
      <x:c r="D13" t="str">
        <x:v>Logistics</x:v>
      </x:c>
      <x:c r="E13" t="n">
        <x:f>COUNTIF('Case Register'!B5:B26,D13)</x:f>
        <x:v>2</x:v>
      </x:c>
      <x:c r="F13" t="n">
        <x:f>COUNTIF('Question Matrix'!C5:C70,D13)</x:f>
        <x:v>6</x:v>
      </x:c>
    </x:row>
    <x:row r="14">
      <x:c r="D14" t="str">
        <x:v>Marketing</x:v>
      </x:c>
      <x:c r="E14" t="n">
        <x:f>COUNTIF('Case Register'!B5:B26,D14)</x:f>
        <x:v>2</x:v>
      </x:c>
      <x:c r="F14" t="n">
        <x:f>COUNTIF('Question Matrix'!C5:C70,D14)</x:f>
        <x:v>6</x:v>
      </x:c>
    </x:row>
    <x:row r="15">
      <x:c r="D15" t="str">
        <x:v>Procurement</x:v>
      </x:c>
      <x:c r="E15" t="n">
        <x:f>COUNTIF('Case Register'!B5:B26,D15)</x:f>
        <x:v>2</x:v>
      </x:c>
      <x:c r="F15" t="n">
        <x:f>COUNTIF('Question Matrix'!C5:C70,D15)</x:f>
        <x:v>6</x:v>
      </x:c>
    </x:row>
    <x:row r="16">
      <x:c r="D16" t="str">
        <x:v>Risk and Audit</x:v>
      </x:c>
      <x:c r="E16" t="n">
        <x:f>COUNTIF('Case Register'!B5:B26,D16)</x:f>
        <x:v>1</x:v>
      </x:c>
      <x:c r="F16" t="n">
        <x:f>COUNTIF('Question Matrix'!C5:C70,D16)</x:f>
        <x:v>3</x:v>
      </x:c>
    </x:row>
    <x:row r="17">
      <x:c r="D17" t="str">
        <x:v>Sales</x:v>
      </x:c>
      <x:c r="E17" t="n">
        <x:f>COUNTIF('Case Register'!B5:B26,D17)</x:f>
        <x:v>2</x:v>
      </x:c>
      <x:c r="F17" t="n">
        <x:f>COUNTIF('Question Matrix'!C5:C70,D17)</x:f>
        <x:v>6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b2cd60c8e2304dd0"/>
</x:worksheet>
</file>